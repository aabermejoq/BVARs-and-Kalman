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Gráfic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sz val="15"/>
    </font>
    <font>
      <color rgb="00595959"/>
      <sz val="10"/>
    </font>
    <font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Mediana por capa vs. IGAE observado (sin intervalos)</a:t>
            </a:r>
          </a:p>
        </rich>
      </tx>
    </title>
    <plotArea>
      <lineChart>
        <grouping val="standard"/>
        <ser>
          <idx val="0"/>
          <order val="0"/>
          <tx>
            <strRef>
              <f>'Datos'!C2</f>
            </strRef>
          </tx>
          <spPr>
            <a:ln w="22000">
              <a:solidFill>
                <a:srgbClr val="9EC5F4"/>
              </a:solidFill>
              <a:prstDash val="solid"/>
            </a:ln>
          </spPr>
          <marker>
            <symbol val="circle"/>
            <size val="6"/>
            <spPr>
              <a:solidFill>
                <a:srgbClr val="9EC5F4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'Datos'!$A$3:$A$11</f>
            </numRef>
          </cat>
          <val>
            <numRef>
              <f>'Datos'!$C$3:$C$11</f>
            </numRef>
          </val>
          <smooth val="0"/>
        </ser>
        <ser>
          <idx val="1"/>
          <order val="1"/>
          <tx>
            <strRef>
              <f>'Datos'!D2</f>
            </strRef>
          </tx>
          <spPr>
            <a:ln w="22000">
              <a:solidFill>
                <a:srgbClr val="5598E7"/>
              </a:solidFill>
              <a:prstDash val="solid"/>
            </a:ln>
          </spPr>
          <marker>
            <symbol val="circle"/>
            <size val="6"/>
            <spPr>
              <a:solidFill>
                <a:srgbClr val="5598E7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'Datos'!$A$3:$A$11</f>
            </numRef>
          </cat>
          <val>
            <numRef>
              <f>'Datos'!$D$3:$D$11</f>
            </numRef>
          </val>
          <smooth val="0"/>
        </ser>
        <ser>
          <idx val="2"/>
          <order val="2"/>
          <tx>
            <strRef>
              <f>'Datos'!E2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'Datos'!$A$3:$A$11</f>
            </numRef>
          </cat>
          <val>
            <numRef>
              <f>'Datos'!$E$3:$E$11</f>
            </numRef>
          </val>
          <smooth val="0"/>
        </ser>
        <ser>
          <idx val="3"/>
          <order val="3"/>
          <tx>
            <strRef>
              <f>'Datos'!F2</f>
            </strRef>
          </tx>
          <spPr>
            <a:ln w="26000">
              <a:solidFill>
                <a:srgbClr val="104281"/>
              </a:solidFill>
              <a:prstDash val="solid"/>
            </a:ln>
          </spPr>
          <marker>
            <symbol val="circle"/>
            <size val="6"/>
            <spPr>
              <a:solidFill>
                <a:srgbClr val="104281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'Datos'!$A$3:$A$11</f>
            </numRef>
          </cat>
          <val>
            <numRef>
              <f>'Datos'!$F$3:$F$11</f>
            </numRef>
          </val>
          <smooth val="0"/>
        </ser>
        <ser>
          <idx val="4"/>
          <order val="4"/>
          <tx>
            <strRef>
              <f>'Datos'!B2</f>
            </strRef>
          </tx>
          <spPr>
            <a:ln w="30000">
              <a:solidFill>
                <a:srgbClr val="0B0D10"/>
              </a:solidFill>
              <a:prstDash val="sysDot"/>
            </a:ln>
          </spPr>
          <marker>
            <symbol val="circle"/>
            <size val="6"/>
            <spPr>
              <a:solidFill>
                <a:srgbClr val="0B0D1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'Datos'!$A$3:$A$11</f>
            </numRef>
          </cat>
          <val>
            <numRef>
              <f>'Datos'!$B$3:$B$11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M0 · BVAR Minnesota</a:t>
            </a:r>
          </a:p>
        </rich>
      </tx>
    </title>
    <plotArea>
      <areaChart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'Datos'!$B$15:$B$24</f>
            </numRef>
          </val>
        </ser>
        <ser>
          <idx val="1"/>
          <order val="1"/>
          <tx>
            <v>P5–P95</v>
          </tx>
          <spPr>
            <a:solidFill>
              <a:srgbClr val="DCEAFC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'Datos'!$C$15:$C$24</f>
            </numRef>
          </val>
        </ser>
        <ser>
          <idx val="2"/>
          <order val="2"/>
          <tx>
            <v>P25–P75 (RIC)</v>
          </tx>
          <spPr>
            <a:solidFill>
              <a:srgbClr val="9EC5F4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'Datos'!$D$15:$D$24</f>
            </numRef>
          </val>
        </ser>
        <ser>
          <idx val="3"/>
          <order val="3"/>
          <tx>
            <v>P5–P95</v>
          </tx>
          <spPr>
            <a:solidFill>
              <a:srgbClr val="DCEAFC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'Datos'!$E$15:$E$24</f>
            </numRef>
          </val>
        </ser>
        <axId val="10"/>
        <axId val="100"/>
      </areaChart>
      <lineChart>
        <grouping val="standard"/>
        <ser>
          <idx val="4"/>
          <order val="4"/>
          <tx>
            <v>Mediana del modelo</v>
          </tx>
          <spPr>
            <a:ln w="26000">
              <a:solidFill>
                <a:srgbClr val="9EC5F4"/>
              </a:solidFill>
              <a:prstDash val="solid"/>
            </a:ln>
          </spPr>
          <marker>
            <symbol val="circle"/>
            <size val="6"/>
            <spPr>
              <a:solidFill>
                <a:srgbClr val="9EC5F4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'Datos'!$F$15:$F$24</f>
            </numRef>
          </val>
          <smooth val="0"/>
        </ser>
        <ser>
          <idx val="5"/>
          <order val="5"/>
          <tx>
            <v>IGAE observado</v>
          </tx>
          <spPr>
            <a:ln w="26000">
              <a:solidFill>
                <a:srgbClr val="0B0D10"/>
              </a:solidFill>
              <a:prstDash val="solid"/>
            </a:ln>
          </spPr>
          <marker>
            <symbol val="circle"/>
            <size val="6"/>
            <spPr>
              <a:solidFill>
                <a:srgbClr val="0B0D1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'Datos'!$AH$15:$AH$24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  <legendEntry>
        <idx val="0"/>
        <delete val="1"/>
      </legendEntry>
      <legendEntry>
        <idx val="3"/>
        <delete val="1"/>
      </legendEntry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M0+M1 · + Lenza-Primiceri (2022)</a:t>
            </a:r>
          </a:p>
        </rich>
      </tx>
    </title>
    <plotArea>
      <areaChart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'Datos'!$J$15:$J$24</f>
            </numRef>
          </val>
        </ser>
        <ser>
          <idx val="1"/>
          <order val="1"/>
          <tx>
            <v>P5–P95</v>
          </tx>
          <spPr>
            <a:solidFill>
              <a:srgbClr val="C7DEF8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'Datos'!$K$15:$K$24</f>
            </numRef>
          </val>
        </ser>
        <ser>
          <idx val="2"/>
          <order val="2"/>
          <tx>
            <v>P25–P75 (RIC)</v>
          </tx>
          <spPr>
            <a:solidFill>
              <a:srgbClr val="5598E7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'Datos'!$L$15:$L$24</f>
            </numRef>
          </val>
        </ser>
        <ser>
          <idx val="3"/>
          <order val="3"/>
          <tx>
            <v>P5–P95</v>
          </tx>
          <spPr>
            <a:solidFill>
              <a:srgbClr val="C7DEF8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'Datos'!$M$15:$M$24</f>
            </numRef>
          </val>
        </ser>
        <axId val="10"/>
        <axId val="100"/>
      </areaChart>
      <lineChart>
        <grouping val="standard"/>
        <ser>
          <idx val="4"/>
          <order val="4"/>
          <tx>
            <v>Mediana del modelo</v>
          </tx>
          <spPr>
            <a:ln w="26000">
              <a:solidFill>
                <a:srgbClr val="5598E7"/>
              </a:solidFill>
              <a:prstDash val="solid"/>
            </a:ln>
          </spPr>
          <marker>
            <symbol val="circle"/>
            <size val="6"/>
            <spPr>
              <a:solidFill>
                <a:srgbClr val="5598E7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'Datos'!$N$15:$N$24</f>
            </numRef>
          </val>
          <smooth val="0"/>
        </ser>
        <ser>
          <idx val="5"/>
          <order val="5"/>
          <tx>
            <v>IGAE observado</v>
          </tx>
          <spPr>
            <a:ln w="26000">
              <a:solidFill>
                <a:srgbClr val="0B0D10"/>
              </a:solidFill>
              <a:prstDash val="solid"/>
            </a:ln>
          </spPr>
          <marker>
            <symbol val="circle"/>
            <size val="6"/>
            <spPr>
              <a:solidFill>
                <a:srgbClr val="0B0D1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'Datos'!$AH$15:$AH$24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  <legendEntry>
        <idx val="0"/>
        <delete val="1"/>
      </legendEntry>
      <legendEntry>
        <idx val="3"/>
        <delete val="1"/>
      </legendEntry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M0+M1+M2 · + Partículas (Gordon 1993)</a:t>
            </a:r>
          </a:p>
        </rich>
      </tx>
    </title>
    <plotArea>
      <areaChart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'Datos'!$R$15:$R$24</f>
            </numRef>
          </val>
        </ser>
        <ser>
          <idx val="1"/>
          <order val="1"/>
          <tx>
            <v>P5–P95</v>
          </tx>
          <spPr>
            <a:solidFill>
              <a:srgbClr val="B8D3F3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'Datos'!$S$15:$S$24</f>
            </numRef>
          </val>
        </ser>
        <ser>
          <idx val="2"/>
          <order val="2"/>
          <tx>
            <v>P25–P75 (RIC)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'Datos'!$T$15:$T$24</f>
            </numRef>
          </val>
        </ser>
        <ser>
          <idx val="3"/>
          <order val="3"/>
          <tx>
            <v>P5–P95</v>
          </tx>
          <spPr>
            <a:solidFill>
              <a:srgbClr val="B8D3F3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'Datos'!$U$15:$U$24</f>
            </numRef>
          </val>
        </ser>
        <axId val="10"/>
        <axId val="100"/>
      </areaChart>
      <lineChart>
        <grouping val="standard"/>
        <ser>
          <idx val="4"/>
          <order val="4"/>
          <tx>
            <v>Mediana del modelo</v>
          </tx>
          <spPr>
            <a:ln w="26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'Datos'!$V$15:$V$24</f>
            </numRef>
          </val>
          <smooth val="0"/>
        </ser>
        <ser>
          <idx val="5"/>
          <order val="5"/>
          <tx>
            <v>IGAE observado</v>
          </tx>
          <spPr>
            <a:ln w="26000">
              <a:solidFill>
                <a:srgbClr val="0B0D10"/>
              </a:solidFill>
              <a:prstDash val="solid"/>
            </a:ln>
          </spPr>
          <marker>
            <symbol val="circle"/>
            <size val="6"/>
            <spPr>
              <a:solidFill>
                <a:srgbClr val="0B0D1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'Datos'!$AH$15:$AH$24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  <legendEntry>
        <idx val="0"/>
        <delete val="1"/>
      </legendEntry>
      <legendEntry>
        <idx val="3"/>
        <delete val="1"/>
      </legendEntry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M0+M1+M2+M3 · + Waggoner-Zha (1999)</a:t>
            </a:r>
          </a:p>
        </rich>
      </tx>
    </title>
    <plotArea>
      <areaChart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'Datos'!$Z$15:$Z$24</f>
            </numRef>
          </val>
        </ser>
        <ser>
          <idx val="1"/>
          <order val="1"/>
          <tx>
            <v>P5–P95</v>
          </tx>
          <spPr>
            <a:solidFill>
              <a:srgbClr val="A9C6E8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'Datos'!$AA$15:$AA$24</f>
            </numRef>
          </val>
        </ser>
        <ser>
          <idx val="2"/>
          <order val="2"/>
          <tx>
            <v>P25–P75 (RIC)</v>
          </tx>
          <spPr>
            <a:solidFill>
              <a:srgbClr val="104281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'Datos'!$AB$15:$AB$24</f>
            </numRef>
          </val>
        </ser>
        <ser>
          <idx val="3"/>
          <order val="3"/>
          <tx>
            <v>P5–P95</v>
          </tx>
          <spPr>
            <a:solidFill>
              <a:srgbClr val="A9C6E8"/>
            </a:solidFill>
            <a:ln>
              <a:noFill/>
              <a:prstDash val="solid"/>
            </a:ln>
          </spPr>
          <cat>
            <numRef>
              <f>'Datos'!$A$16:$A$24</f>
            </numRef>
          </cat>
          <val>
            <numRef>
              <f>'Datos'!$AC$15:$AC$24</f>
            </numRef>
          </val>
        </ser>
        <axId val="10"/>
        <axId val="100"/>
      </areaChart>
      <lineChart>
        <grouping val="standard"/>
        <ser>
          <idx val="4"/>
          <order val="4"/>
          <tx>
            <v>Mediana del modelo</v>
          </tx>
          <spPr>
            <a:ln w="26000">
              <a:solidFill>
                <a:srgbClr val="104281"/>
              </a:solidFill>
              <a:prstDash val="solid"/>
            </a:ln>
          </spPr>
          <marker>
            <symbol val="circle"/>
            <size val="6"/>
            <spPr>
              <a:solidFill>
                <a:srgbClr val="104281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'Datos'!$AD$15:$AD$24</f>
            </numRef>
          </val>
          <smooth val="0"/>
        </ser>
        <ser>
          <idx val="5"/>
          <order val="5"/>
          <tx>
            <v>IGAE observado</v>
          </tx>
          <spPr>
            <a:ln w="26000">
              <a:solidFill>
                <a:srgbClr val="0B0D10"/>
              </a:solidFill>
              <a:prstDash val="solid"/>
            </a:ln>
          </spPr>
          <marker>
            <symbol val="circle"/>
            <size val="6"/>
            <spPr>
              <a:solidFill>
                <a:srgbClr val="0B0D1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'Datos'!$A$16:$A$24</f>
            </numRef>
          </cat>
          <val>
            <numRef>
              <f>'Datos'!$AH$15:$AH$24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  <legendEntry>
        <idx val="0"/>
        <delete val="1"/>
      </legendEntry>
      <legendEntry>
        <idx val="3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58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58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58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58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4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Serie principal (para la gráfica comparativa sin intervalos)</t>
        </is>
      </c>
    </row>
    <row r="2">
      <c r="A2" s="2" t="inlineStr">
        <is>
          <t>Fecha</t>
        </is>
      </c>
      <c r="B2" s="2" t="inlineStr">
        <is>
          <t>IGAE observado</t>
        </is>
      </c>
      <c r="C2" s="2" t="inlineStr">
        <is>
          <t>M0</t>
        </is>
      </c>
      <c r="D2" s="2" t="inlineStr">
        <is>
          <t>M1</t>
        </is>
      </c>
      <c r="E2" s="2" t="inlineStr">
        <is>
          <t>M2</t>
        </is>
      </c>
      <c r="F2" s="2" t="inlineStr">
        <is>
          <t>M3</t>
        </is>
      </c>
    </row>
    <row r="3">
      <c r="A3" t="inlineStr">
        <is>
          <t>2020-04</t>
        </is>
      </c>
      <c r="B3" s="3" t="n">
        <v>-0.2091361646514755</v>
      </c>
      <c r="C3" s="3" t="n">
        <v>-0.0005093003393679</v>
      </c>
      <c r="D3" s="3" t="n">
        <v>-4.840304266518272e-05</v>
      </c>
      <c r="E3" s="3" t="n">
        <v>-0.0267940065899297</v>
      </c>
      <c r="F3" s="3" t="n">
        <v>-0.0267940065899297</v>
      </c>
    </row>
    <row r="4">
      <c r="A4" t="inlineStr">
        <is>
          <t>2020-05</t>
        </is>
      </c>
      <c r="B4" s="3" t="n">
        <v>-0.0188339457784225</v>
      </c>
      <c r="C4" s="3" t="n">
        <v>-0.0032973677503811</v>
      </c>
      <c r="D4" s="3" t="n">
        <v>-0.0027929270013149</v>
      </c>
      <c r="E4" s="3" t="n">
        <v>-0.0030874646787675</v>
      </c>
      <c r="F4" s="3" t="n">
        <v>-0.0030874646787675</v>
      </c>
    </row>
    <row r="5">
      <c r="A5" t="inlineStr">
        <is>
          <t>2020-06</t>
        </is>
      </c>
      <c r="B5" s="3" t="n">
        <v>0.1120351289105761</v>
      </c>
      <c r="C5" s="3" t="n">
        <v>-0.0033079400282297</v>
      </c>
      <c r="D5" s="3" t="n">
        <v>-0.0029654495262838</v>
      </c>
      <c r="E5" s="3" t="n">
        <v>-0.004772997169762</v>
      </c>
      <c r="F5" s="3" t="n">
        <v>-0.0044201229944255</v>
      </c>
    </row>
    <row r="6">
      <c r="A6" t="inlineStr">
        <is>
          <t>2020-07</t>
        </is>
      </c>
      <c r="B6" s="3" t="n">
        <v>0.0494036131517301</v>
      </c>
      <c r="C6" s="3" t="n">
        <v>-0.002709039070416</v>
      </c>
      <c r="D6" s="3" t="n">
        <v>-0.0023637230603988</v>
      </c>
      <c r="E6" s="3" t="n">
        <v>-0.0026785327347224</v>
      </c>
      <c r="F6" s="3" t="n">
        <v>-0.0045760661090362</v>
      </c>
    </row>
    <row r="7">
      <c r="A7" t="inlineStr">
        <is>
          <t>2020-08</t>
        </is>
      </c>
      <c r="B7" s="3" t="n">
        <v>0.0289319698454972</v>
      </c>
      <c r="C7" s="3" t="n">
        <v>-0.0024233754827436</v>
      </c>
      <c r="D7" s="3" t="n">
        <v>-0.0024865648895848</v>
      </c>
      <c r="E7" s="3" t="n">
        <v>-0.0038697493121112</v>
      </c>
      <c r="F7" s="3" t="n">
        <v>-0.0031477162311347</v>
      </c>
    </row>
    <row r="8">
      <c r="A8" t="inlineStr">
        <is>
          <t>2020-09</t>
        </is>
      </c>
      <c r="B8" s="3" t="n">
        <v>0.0267602779597897</v>
      </c>
      <c r="C8" s="3" t="n">
        <v>-0.0021152866778026</v>
      </c>
      <c r="D8" s="3" t="n">
        <v>-0.0021732721900804</v>
      </c>
      <c r="E8" s="3" t="n">
        <v>-0.0033410268768739</v>
      </c>
      <c r="F8" s="3" t="n">
        <v>-0.0036005940051185</v>
      </c>
    </row>
    <row r="9">
      <c r="A9" t="inlineStr">
        <is>
          <t>2020-10</t>
        </is>
      </c>
      <c r="B9" s="3" t="n">
        <v>0.0105935384361401</v>
      </c>
      <c r="C9" s="3" t="n">
        <v>-0.0014470180355652</v>
      </c>
      <c r="D9" s="3" t="n">
        <v>-0.0017622941703539</v>
      </c>
      <c r="E9" s="3" t="n">
        <v>-0.0027581533790469</v>
      </c>
      <c r="F9" s="3" t="n">
        <v>-0.0030838301088252</v>
      </c>
    </row>
    <row r="10">
      <c r="A10" t="inlineStr">
        <is>
          <t>2020-11</t>
        </is>
      </c>
      <c r="B10" s="3" t="n">
        <v>0.0077044425634147</v>
      </c>
      <c r="C10" s="3" t="n">
        <v>-0.0015952313393546</v>
      </c>
      <c r="D10" s="3" t="n">
        <v>-0.0013278341990693</v>
      </c>
      <c r="E10" s="3" t="n">
        <v>-0.0020594547238799</v>
      </c>
      <c r="F10" s="3" t="n">
        <v>-0.001980574921111</v>
      </c>
    </row>
    <row r="11">
      <c r="A11" t="inlineStr">
        <is>
          <t>2020-12</t>
        </is>
      </c>
      <c r="B11" s="3" t="n">
        <v>-0.0029457775587919</v>
      </c>
      <c r="C11" s="3" t="n">
        <v>-0.0013557525599087</v>
      </c>
      <c r="D11" s="3" t="n">
        <v>-0.0013452773821312</v>
      </c>
      <c r="E11" s="3" t="n">
        <v>-0.0017025824807627</v>
      </c>
      <c r="F11" s="3" t="n">
        <v>-0.0023732296288395</v>
      </c>
    </row>
    <row r="14">
      <c r="A14" s="1" t="inlineStr">
        <is>
          <t>Percentiles por capa (para las gráficas de abanico)</t>
        </is>
      </c>
    </row>
    <row r="15">
      <c r="A15" s="2" t="inlineStr">
        <is>
          <t>Fecha</t>
        </is>
      </c>
      <c r="B15" s="2" t="inlineStr">
        <is>
          <t>M0_p05</t>
        </is>
      </c>
      <c r="C15" s="2" t="inlineStr">
        <is>
          <t>M0_seg_25_05</t>
        </is>
      </c>
      <c r="D15" s="2" t="inlineStr">
        <is>
          <t>M0_seg_75_25</t>
        </is>
      </c>
      <c r="E15" s="2" t="inlineStr">
        <is>
          <t>M0_seg_95_75</t>
        </is>
      </c>
      <c r="F15" s="2" t="inlineStr">
        <is>
          <t>M0_mediana</t>
        </is>
      </c>
      <c r="G15" s="2" t="inlineStr">
        <is>
          <t>M0_p25</t>
        </is>
      </c>
      <c r="H15" s="2" t="inlineStr">
        <is>
          <t>M0_p75</t>
        </is>
      </c>
      <c r="I15" s="2" t="inlineStr">
        <is>
          <t>M0_p95</t>
        </is>
      </c>
      <c r="J15" s="2" t="inlineStr">
        <is>
          <t>M1_p05</t>
        </is>
      </c>
      <c r="K15" s="2" t="inlineStr">
        <is>
          <t>M1_seg_25_05</t>
        </is>
      </c>
      <c r="L15" s="2" t="inlineStr">
        <is>
          <t>M1_seg_75_25</t>
        </is>
      </c>
      <c r="M15" s="2" t="inlineStr">
        <is>
          <t>M1_seg_95_75</t>
        </is>
      </c>
      <c r="N15" s="2" t="inlineStr">
        <is>
          <t>M1_mediana</t>
        </is>
      </c>
      <c r="O15" s="2" t="inlineStr">
        <is>
          <t>M1_p25</t>
        </is>
      </c>
      <c r="P15" s="2" t="inlineStr">
        <is>
          <t>M1_p75</t>
        </is>
      </c>
      <c r="Q15" s="2" t="inlineStr">
        <is>
          <t>M1_p95</t>
        </is>
      </c>
      <c r="R15" s="2" t="inlineStr">
        <is>
          <t>M2_p05</t>
        </is>
      </c>
      <c r="S15" s="2" t="inlineStr">
        <is>
          <t>M2_seg_25_05</t>
        </is>
      </c>
      <c r="T15" s="2" t="inlineStr">
        <is>
          <t>M2_seg_75_25</t>
        </is>
      </c>
      <c r="U15" s="2" t="inlineStr">
        <is>
          <t>M2_seg_95_75</t>
        </is>
      </c>
      <c r="V15" s="2" t="inlineStr">
        <is>
          <t>M2_mediana</t>
        </is>
      </c>
      <c r="W15" s="2" t="inlineStr">
        <is>
          <t>M2_p25</t>
        </is>
      </c>
      <c r="X15" s="2" t="inlineStr">
        <is>
          <t>M2_p75</t>
        </is>
      </c>
      <c r="Y15" s="2" t="inlineStr">
        <is>
          <t>M2_p95</t>
        </is>
      </c>
      <c r="Z15" s="2" t="inlineStr">
        <is>
          <t>M3_p05</t>
        </is>
      </c>
      <c r="AA15" s="2" t="inlineStr">
        <is>
          <t>M3_seg_25_05</t>
        </is>
      </c>
      <c r="AB15" s="2" t="inlineStr">
        <is>
          <t>M3_seg_75_25</t>
        </is>
      </c>
      <c r="AC15" s="2" t="inlineStr">
        <is>
          <t>M3_seg_95_75</t>
        </is>
      </c>
      <c r="AD15" s="2" t="inlineStr">
        <is>
          <t>M3_mediana</t>
        </is>
      </c>
      <c r="AE15" s="2" t="inlineStr">
        <is>
          <t>M3_p25</t>
        </is>
      </c>
      <c r="AF15" s="2" t="inlineStr">
        <is>
          <t>M3_p75</t>
        </is>
      </c>
      <c r="AG15" s="2" t="inlineStr">
        <is>
          <t>M3_p95</t>
        </is>
      </c>
      <c r="AH15" s="2" t="inlineStr">
        <is>
          <t>IGAE observado</t>
        </is>
      </c>
    </row>
    <row r="16">
      <c r="A16" t="inlineStr">
        <is>
          <t>2020-04</t>
        </is>
      </c>
      <c r="B16" s="3" t="n">
        <v>-0.0121244251412816</v>
      </c>
      <c r="C16" s="3" t="n">
        <v>0.0069632917239149</v>
      </c>
      <c r="D16" s="3" t="n">
        <v>0.009628894075220801</v>
      </c>
      <c r="E16" s="3" t="n">
        <v>0.007836753435225</v>
      </c>
      <c r="F16" s="3" t="n">
        <v>-0.0005093003393679</v>
      </c>
      <c r="G16" s="3" t="n">
        <v>-0.0051611334173667</v>
      </c>
      <c r="H16" s="3" t="n">
        <v>0.0044677606578541</v>
      </c>
      <c r="I16" s="3" t="n">
        <v>0.0123045140930791</v>
      </c>
      <c r="J16" s="3" t="n">
        <v>-0.0365517572218992</v>
      </c>
      <c r="K16" s="3" t="n">
        <v>0.0217721043815925</v>
      </c>
      <c r="L16" s="3" t="n">
        <v>0.0298766107326458</v>
      </c>
      <c r="M16" s="3" t="n">
        <v>0.0211000807119172</v>
      </c>
      <c r="N16" s="3" t="n">
        <v>-4.840304266518272e-05</v>
      </c>
      <c r="O16" s="3" t="n">
        <v>-0.0147796528403067</v>
      </c>
      <c r="P16" s="3" t="n">
        <v>0.0150969578923391</v>
      </c>
      <c r="Q16" s="3" t="n">
        <v>0.0361970386042563</v>
      </c>
      <c r="R16" s="3" t="n">
        <v>-0.0610639252002473</v>
      </c>
      <c r="S16" s="3" t="n">
        <v>0.0193994803378458</v>
      </c>
      <c r="T16" s="3" t="n">
        <v>0.0263400270308457</v>
      </c>
      <c r="U16" s="3" t="n">
        <v>0.0166423115408688</v>
      </c>
      <c r="V16" s="3" t="n">
        <v>-0.0267940065899297</v>
      </c>
      <c r="W16" s="3" t="n">
        <v>-0.0416644448624015</v>
      </c>
      <c r="X16" s="3" t="n">
        <v>-0.0153244178315558</v>
      </c>
      <c r="Y16" s="3" t="n">
        <v>0.001317893709313</v>
      </c>
      <c r="Z16" s="3" t="n">
        <v>-0.0610639252002473</v>
      </c>
      <c r="AA16" s="3" t="n">
        <v>0.0193994803378458</v>
      </c>
      <c r="AB16" s="3" t="n">
        <v>0.0263400270308457</v>
      </c>
      <c r="AC16" s="3" t="n">
        <v>0.0166423115408688</v>
      </c>
      <c r="AD16" s="3" t="n">
        <v>-0.0267940065899297</v>
      </c>
      <c r="AE16" s="3" t="n">
        <v>-0.0416644448624015</v>
      </c>
      <c r="AF16" s="3" t="n">
        <v>-0.0153244178315558</v>
      </c>
      <c r="AG16" s="3" t="n">
        <v>0.001317893709313</v>
      </c>
      <c r="AH16" s="3" t="n">
        <v>-0.2091361646514755</v>
      </c>
    </row>
    <row r="17">
      <c r="A17" t="inlineStr">
        <is>
          <t>2020-05</t>
        </is>
      </c>
      <c r="B17" s="3" t="n">
        <v>-0.0153240990136404</v>
      </c>
      <c r="C17" s="3" t="n">
        <v>0.0069063324960744</v>
      </c>
      <c r="D17" s="3" t="n">
        <v>0.0098565733469917</v>
      </c>
      <c r="E17" s="3" t="n">
        <v>0.0073080853102035</v>
      </c>
      <c r="F17" s="3" t="n">
        <v>-0.0032973677503811</v>
      </c>
      <c r="G17" s="3" t="n">
        <v>-0.008417766517566001</v>
      </c>
      <c r="H17" s="3" t="n">
        <v>0.0014388068294257</v>
      </c>
      <c r="I17" s="3" t="n">
        <v>0.0087468921396292</v>
      </c>
      <c r="J17" s="3" t="n">
        <v>-0.0337278931558852</v>
      </c>
      <c r="K17" s="3" t="n">
        <v>0.0184266858416629</v>
      </c>
      <c r="L17" s="3" t="n">
        <v>0.0248899851736343</v>
      </c>
      <c r="M17" s="3" t="n">
        <v>0.0174317209798949</v>
      </c>
      <c r="N17" s="3" t="n">
        <v>-0.0027929270013149</v>
      </c>
      <c r="O17" s="3" t="n">
        <v>-0.0153012073142223</v>
      </c>
      <c r="P17" s="3" t="n">
        <v>0.009588777859412</v>
      </c>
      <c r="Q17" s="3" t="n">
        <v>0.0270204988393069</v>
      </c>
      <c r="R17" s="3" t="n">
        <v>-0.0276830994760215</v>
      </c>
      <c r="S17" s="3" t="n">
        <v>0.015633900184564</v>
      </c>
      <c r="T17" s="3" t="n">
        <v>0.0204121650338765</v>
      </c>
      <c r="U17" s="3" t="n">
        <v>0.0146893967494245</v>
      </c>
      <c r="V17" s="3" t="n">
        <v>-0.0030874646787675</v>
      </c>
      <c r="W17" s="3" t="n">
        <v>-0.0120491992914575</v>
      </c>
      <c r="X17" s="3" t="n">
        <v>0.008362965742419</v>
      </c>
      <c r="Y17" s="3" t="n">
        <v>0.0230523624918435</v>
      </c>
      <c r="Z17" s="3" t="n">
        <v>-0.0276830994760215</v>
      </c>
      <c r="AA17" s="3" t="n">
        <v>0.015633900184564</v>
      </c>
      <c r="AB17" s="3" t="n">
        <v>0.0204121650338765</v>
      </c>
      <c r="AC17" s="3" t="n">
        <v>0.0146893967494245</v>
      </c>
      <c r="AD17" s="3" t="n">
        <v>-0.0030874646787675</v>
      </c>
      <c r="AE17" s="3" t="n">
        <v>-0.0120491992914575</v>
      </c>
      <c r="AF17" s="3" t="n">
        <v>0.008362965742419</v>
      </c>
      <c r="AG17" s="3" t="n">
        <v>0.0230523624918435</v>
      </c>
      <c r="AH17" s="3" t="n">
        <v>-0.0188339457784225</v>
      </c>
    </row>
    <row r="18">
      <c r="A18" t="inlineStr">
        <is>
          <t>2020-06</t>
        </is>
      </c>
      <c r="B18" s="3" t="n">
        <v>-0.0148712036418519</v>
      </c>
      <c r="C18" s="3" t="n">
        <v>0.0069016957395745</v>
      </c>
      <c r="D18" s="3" t="n">
        <v>0.0096409999260153</v>
      </c>
      <c r="E18" s="3" t="n">
        <v>0.006848241602517</v>
      </c>
      <c r="F18" s="3" t="n">
        <v>-0.0033079400282297</v>
      </c>
      <c r="G18" s="3" t="n">
        <v>-0.007969507902277399</v>
      </c>
      <c r="H18" s="3" t="n">
        <v>0.0016714920237379</v>
      </c>
      <c r="I18" s="3" t="n">
        <v>0.0085197336262549</v>
      </c>
      <c r="J18" s="3" t="n">
        <v>-0.0298358797534219</v>
      </c>
      <c r="K18" s="3" t="n">
        <v>0.0160910455209614</v>
      </c>
      <c r="L18" s="3" t="n">
        <v>0.0213199209641844</v>
      </c>
      <c r="M18" s="3" t="n">
        <v>0.0144068235519679</v>
      </c>
      <c r="N18" s="3" t="n">
        <v>-0.0029654495262838</v>
      </c>
      <c r="O18" s="3" t="n">
        <v>-0.0137448342324605</v>
      </c>
      <c r="P18" s="3" t="n">
        <v>0.0075750867317239</v>
      </c>
      <c r="Q18" s="3" t="n">
        <v>0.0219819102836918</v>
      </c>
      <c r="R18" s="3" t="n">
        <v>-0.0298648310647308</v>
      </c>
      <c r="S18" s="3" t="n">
        <v>0.01450892493505</v>
      </c>
      <c r="T18" s="3" t="n">
        <v>0.0206827860921141</v>
      </c>
      <c r="U18" s="3" t="n">
        <v>0.0149024660709407</v>
      </c>
      <c r="V18" s="3" t="n">
        <v>-0.004772997169762</v>
      </c>
      <c r="W18" s="3" t="n">
        <v>-0.0153559061296808</v>
      </c>
      <c r="X18" s="3" t="n">
        <v>0.0053268799624333</v>
      </c>
      <c r="Y18" s="3" t="n">
        <v>0.020229346033374</v>
      </c>
      <c r="Z18" s="3" t="n">
        <v>-0.0153352446155434</v>
      </c>
      <c r="AA18" s="3" t="n">
        <v>0.0066136876376666</v>
      </c>
      <c r="AB18" s="3" t="n">
        <v>0.008633262128599455</v>
      </c>
      <c r="AC18" s="3" t="n">
        <v>0.006058187039147946</v>
      </c>
      <c r="AD18" s="3" t="n">
        <v>-0.0044201229944255</v>
      </c>
      <c r="AE18" s="3" t="n">
        <v>-0.0087215569778768</v>
      </c>
      <c r="AF18" s="3" t="n">
        <v>-8.829484927734565e-05</v>
      </c>
      <c r="AG18" s="3" t="n">
        <v>0.0059698921898706</v>
      </c>
      <c r="AH18" s="3" t="n">
        <v>0.1120351289105761</v>
      </c>
    </row>
    <row r="19">
      <c r="A19" t="inlineStr">
        <is>
          <t>2020-07</t>
        </is>
      </c>
      <c r="B19" s="3" t="n">
        <v>-0.0148780137402435</v>
      </c>
      <c r="C19" s="3" t="n">
        <v>0.0077380126518218</v>
      </c>
      <c r="D19" s="3" t="n">
        <v>0.0093112979034903</v>
      </c>
      <c r="E19" s="3" t="n">
        <v>0.0066675547797883</v>
      </c>
      <c r="F19" s="3" t="n">
        <v>-0.002709039070416</v>
      </c>
      <c r="G19" s="3" t="n">
        <v>-0.0071400010884217</v>
      </c>
      <c r="H19" s="3" t="n">
        <v>0.0021712968150686</v>
      </c>
      <c r="I19" s="3" t="n">
        <v>0.0088388515948569</v>
      </c>
      <c r="J19" s="3" t="n">
        <v>-0.0247781606503994</v>
      </c>
      <c r="K19" s="3" t="n">
        <v>0.0133802502274762</v>
      </c>
      <c r="L19" s="3" t="n">
        <v>0.0184944378237451</v>
      </c>
      <c r="M19" s="3" t="n">
        <v>0.0127156393357819</v>
      </c>
      <c r="N19" s="3" t="n">
        <v>-0.0023637230603988</v>
      </c>
      <c r="O19" s="3" t="n">
        <v>-0.0113979104229232</v>
      </c>
      <c r="P19" s="3" t="n">
        <v>0.0070965274008219</v>
      </c>
      <c r="Q19" s="3" t="n">
        <v>0.0198121667366038</v>
      </c>
      <c r="R19" s="3" t="n">
        <v>-0.0275027284378272</v>
      </c>
      <c r="S19" s="3" t="n">
        <v>0.016235080688231</v>
      </c>
      <c r="T19" s="3" t="n">
        <v>0.0163034496088533</v>
      </c>
      <c r="U19" s="3" t="n">
        <v>0.0128982205460183</v>
      </c>
      <c r="V19" s="3" t="n">
        <v>-0.0026785327347224</v>
      </c>
      <c r="W19" s="3" t="n">
        <v>-0.0112676477495962</v>
      </c>
      <c r="X19" s="3" t="n">
        <v>0.0050358018592571</v>
      </c>
      <c r="Y19" s="3" t="n">
        <v>0.0179340224052754</v>
      </c>
      <c r="Z19" s="3" t="n">
        <v>-0.0152650528628009</v>
      </c>
      <c r="AA19" s="3" t="n">
        <v>0.0061844103916358</v>
      </c>
      <c r="AB19" s="3" t="n">
        <v>0.008955575438302801</v>
      </c>
      <c r="AC19" s="3" t="n">
        <v>0.0062274073008001</v>
      </c>
      <c r="AD19" s="3" t="n">
        <v>-0.0045760661090362</v>
      </c>
      <c r="AE19" s="3" t="n">
        <v>-0.0090806424711651</v>
      </c>
      <c r="AF19" s="3" t="n">
        <v>-0.0001250670328623</v>
      </c>
      <c r="AG19" s="3" t="n">
        <v>0.0061023402679378</v>
      </c>
      <c r="AH19" s="3" t="n">
        <v>0.0494036131517301</v>
      </c>
    </row>
    <row r="20">
      <c r="A20" t="inlineStr">
        <is>
          <t>2020-08</t>
        </is>
      </c>
      <c r="B20" s="3" t="n">
        <v>-0.013802903171414</v>
      </c>
      <c r="C20" s="3" t="n">
        <v>0.006368899508129799</v>
      </c>
      <c r="D20" s="3" t="n">
        <v>0.0097725399164439</v>
      </c>
      <c r="E20" s="3" t="n">
        <v>0.007256540400864299</v>
      </c>
      <c r="F20" s="3" t="n">
        <v>-0.0024233754827436</v>
      </c>
      <c r="G20" s="3" t="n">
        <v>-0.0074340036632842</v>
      </c>
      <c r="H20" s="3" t="n">
        <v>0.0023385362531597</v>
      </c>
      <c r="I20" s="3" t="n">
        <v>0.009595076654023999</v>
      </c>
      <c r="J20" s="3" t="n">
        <v>-0.0210627432348403</v>
      </c>
      <c r="K20" s="3" t="n">
        <v>0.0107390154296472</v>
      </c>
      <c r="L20" s="3" t="n">
        <v>0.0161976951706562</v>
      </c>
      <c r="M20" s="3" t="n">
        <v>0.0117398609428943</v>
      </c>
      <c r="N20" s="3" t="n">
        <v>-0.0024865648895848</v>
      </c>
      <c r="O20" s="3" t="n">
        <v>-0.0103237278051931</v>
      </c>
      <c r="P20" s="3" t="n">
        <v>0.0058739673654631</v>
      </c>
      <c r="Q20" s="3" t="n">
        <v>0.0176138283083574</v>
      </c>
      <c r="R20" s="3" t="n">
        <v>-0.0217032745148755</v>
      </c>
      <c r="S20" s="3" t="n">
        <v>0.0107065959034497</v>
      </c>
      <c r="T20" s="3" t="n">
        <v>0.0153458631816064</v>
      </c>
      <c r="U20" s="3" t="n">
        <v>0.0136904473134718</v>
      </c>
      <c r="V20" s="3" t="n">
        <v>-0.0038697493121112</v>
      </c>
      <c r="W20" s="3" t="n">
        <v>-0.0109966786114258</v>
      </c>
      <c r="X20" s="3" t="n">
        <v>0.0043491845701806</v>
      </c>
      <c r="Y20" s="3" t="n">
        <v>0.0180396318836524</v>
      </c>
      <c r="Z20" s="3" t="n">
        <v>-0.0145426827646981</v>
      </c>
      <c r="AA20" s="3" t="n">
        <v>0.0065988802407953</v>
      </c>
      <c r="AB20" s="3" t="n">
        <v>0.0088773849348851</v>
      </c>
      <c r="AC20" s="3" t="n">
        <v>0.0062584637502355</v>
      </c>
      <c r="AD20" s="3" t="n">
        <v>-0.0031477162311347</v>
      </c>
      <c r="AE20" s="3" t="n">
        <v>-0.007943802523902799</v>
      </c>
      <c r="AF20" s="3" t="n">
        <v>0.0009335824109823</v>
      </c>
      <c r="AG20" s="3" t="n">
        <v>0.0071920461612178</v>
      </c>
      <c r="AH20" s="3" t="n">
        <v>0.0289319698454972</v>
      </c>
    </row>
    <row r="21">
      <c r="A21" t="inlineStr">
        <is>
          <t>2020-09</t>
        </is>
      </c>
      <c r="B21" s="3" t="n">
        <v>-0.013652485089645</v>
      </c>
      <c r="C21" s="3" t="n">
        <v>0.006825967986140701</v>
      </c>
      <c r="D21" s="3" t="n">
        <v>0.0094955566131146</v>
      </c>
      <c r="E21" s="3" t="n">
        <v>0.007127133865870199</v>
      </c>
      <c r="F21" s="3" t="n">
        <v>-0.0021152866778026</v>
      </c>
      <c r="G21" s="3" t="n">
        <v>-0.0068265171035043</v>
      </c>
      <c r="H21" s="3" t="n">
        <v>0.0026690395096103</v>
      </c>
      <c r="I21" s="3" t="n">
        <v>0.009796173375480499</v>
      </c>
      <c r="J21" s="3" t="n">
        <v>-0.019662333918213</v>
      </c>
      <c r="K21" s="3" t="n">
        <v>0.0105931480340288</v>
      </c>
      <c r="L21" s="3" t="n">
        <v>0.0139532575408106</v>
      </c>
      <c r="M21" s="3" t="n">
        <v>0.010852030647729</v>
      </c>
      <c r="N21" s="3" t="n">
        <v>-0.0021732721900804</v>
      </c>
      <c r="O21" s="3" t="n">
        <v>-0.0090691858841842</v>
      </c>
      <c r="P21" s="3" t="n">
        <v>0.0048840716566264</v>
      </c>
      <c r="Q21" s="3" t="n">
        <v>0.0157361023043554</v>
      </c>
      <c r="R21" s="3" t="n">
        <v>-0.0219454194815727</v>
      </c>
      <c r="S21" s="3" t="n">
        <v>0.0109644518562316</v>
      </c>
      <c r="T21" s="3" t="n">
        <v>0.0154332336857688</v>
      </c>
      <c r="U21" s="3" t="n">
        <v>0.009923322225084699</v>
      </c>
      <c r="V21" s="3" t="n">
        <v>-0.0033410268768739</v>
      </c>
      <c r="W21" s="3" t="n">
        <v>-0.0109809676253411</v>
      </c>
      <c r="X21" s="3" t="n">
        <v>0.0044522660604277</v>
      </c>
      <c r="Y21" s="3" t="n">
        <v>0.0143755882855124</v>
      </c>
      <c r="Z21" s="3" t="n">
        <v>-0.0139429384291868</v>
      </c>
      <c r="AA21" s="3" t="n">
        <v>0.006164897974779999</v>
      </c>
      <c r="AB21" s="3" t="n">
        <v>0.008549060951834801</v>
      </c>
      <c r="AC21" s="3" t="n">
        <v>0.0067396632503177</v>
      </c>
      <c r="AD21" s="3" t="n">
        <v>-0.0036005940051185</v>
      </c>
      <c r="AE21" s="3" t="n">
        <v>-0.0077780404544068</v>
      </c>
      <c r="AF21" s="3" t="n">
        <v>0.000771020497428</v>
      </c>
      <c r="AG21" s="3" t="n">
        <v>0.0075106837477457</v>
      </c>
      <c r="AH21" s="3" t="n">
        <v>0.0267602779597897</v>
      </c>
    </row>
    <row r="22">
      <c r="A22" t="inlineStr">
        <is>
          <t>2020-10</t>
        </is>
      </c>
      <c r="B22" s="3" t="n">
        <v>-0.0139986098748832</v>
      </c>
      <c r="C22" s="3" t="n">
        <v>0.007539562136368299</v>
      </c>
      <c r="D22" s="3" t="n">
        <v>0.009662425084846601</v>
      </c>
      <c r="E22" s="3" t="n">
        <v>0.006833376527342401</v>
      </c>
      <c r="F22" s="3" t="n">
        <v>-0.0014470180355652</v>
      </c>
      <c r="G22" s="3" t="n">
        <v>-0.0064590477385149</v>
      </c>
      <c r="H22" s="3" t="n">
        <v>0.0032033773463317</v>
      </c>
      <c r="I22" s="3" t="n">
        <v>0.0100367538736741</v>
      </c>
      <c r="J22" s="3" t="n">
        <v>-0.0176161914087102</v>
      </c>
      <c r="K22" s="3" t="n">
        <v>0.009512329356413602</v>
      </c>
      <c r="L22" s="3" t="n">
        <v>0.0129889221152309</v>
      </c>
      <c r="M22" s="3" t="n">
        <v>0.0087951200788849</v>
      </c>
      <c r="N22" s="3" t="n">
        <v>-0.0017622941703539</v>
      </c>
      <c r="O22" s="3" t="n">
        <v>-0.008103862052296599</v>
      </c>
      <c r="P22" s="3" t="n">
        <v>0.0048850600629343</v>
      </c>
      <c r="Q22" s="3" t="n">
        <v>0.0136801801418192</v>
      </c>
      <c r="R22" s="3" t="n">
        <v>-0.0186036049812666</v>
      </c>
      <c r="S22" s="3" t="n">
        <v>0.009608314387957598</v>
      </c>
      <c r="T22" s="3" t="n">
        <v>0.0132897712539833</v>
      </c>
      <c r="U22" s="3" t="n">
        <v>0.009371407413647601</v>
      </c>
      <c r="V22" s="3" t="n">
        <v>-0.0027581533790469</v>
      </c>
      <c r="W22" s="3" t="n">
        <v>-0.008995290593309</v>
      </c>
      <c r="X22" s="3" t="n">
        <v>0.0042944806606743</v>
      </c>
      <c r="Y22" s="3" t="n">
        <v>0.0136658880743219</v>
      </c>
      <c r="Z22" s="3" t="n">
        <v>-0.013045127352343</v>
      </c>
      <c r="AA22" s="3" t="n">
        <v>0.0057404941626532</v>
      </c>
      <c r="AB22" s="3" t="n">
        <v>0.008435078104212599</v>
      </c>
      <c r="AC22" s="3" t="n">
        <v>0.0062238155028651</v>
      </c>
      <c r="AD22" s="3" t="n">
        <v>-0.0030838301088252</v>
      </c>
      <c r="AE22" s="3" t="n">
        <v>-0.0073046331896898</v>
      </c>
      <c r="AF22" s="3" t="n">
        <v>0.0011304449145228</v>
      </c>
      <c r="AG22" s="3" t="n">
        <v>0.0073542604173879</v>
      </c>
      <c r="AH22" s="3" t="n">
        <v>0.0105935384361401</v>
      </c>
    </row>
    <row r="23">
      <c r="A23" t="inlineStr">
        <is>
          <t>2020-11</t>
        </is>
      </c>
      <c r="B23" s="3" t="n">
        <v>-0.0129831043852423</v>
      </c>
      <c r="C23" s="3" t="n">
        <v>0.0065914899662753</v>
      </c>
      <c r="D23" s="3" t="n">
        <v>0.009859211645252601</v>
      </c>
      <c r="E23" s="3" t="n">
        <v>0.006760154655395399</v>
      </c>
      <c r="F23" s="3" t="n">
        <v>-0.0015952313393546</v>
      </c>
      <c r="G23" s="3" t="n">
        <v>-0.006391614418967</v>
      </c>
      <c r="H23" s="3" t="n">
        <v>0.0034675972262856</v>
      </c>
      <c r="I23" s="3" t="n">
        <v>0.010227751881681</v>
      </c>
      <c r="J23" s="3" t="n">
        <v>-0.0153793697622569</v>
      </c>
      <c r="K23" s="3" t="n">
        <v>0.008054562282222399</v>
      </c>
      <c r="L23" s="3" t="n">
        <v>0.0120987199939101</v>
      </c>
      <c r="M23" s="3" t="n">
        <v>0.009189900901315801</v>
      </c>
      <c r="N23" s="3" t="n">
        <v>-0.0013278341990693</v>
      </c>
      <c r="O23" s="3" t="n">
        <v>-0.0073248074800345</v>
      </c>
      <c r="P23" s="3" t="n">
        <v>0.0047739125138756</v>
      </c>
      <c r="Q23" s="3" t="n">
        <v>0.0139638134151914</v>
      </c>
      <c r="R23" s="3" t="n">
        <v>-0.0173503612257217</v>
      </c>
      <c r="S23" s="3" t="n">
        <v>0.009042812761527699</v>
      </c>
      <c r="T23" s="3" t="n">
        <v>0.0123345835026561</v>
      </c>
      <c r="U23" s="3" t="n">
        <v>0.0080180491676049</v>
      </c>
      <c r="V23" s="3" t="n">
        <v>-0.0020594547238799</v>
      </c>
      <c r="W23" s="3" t="n">
        <v>-0.008307548464194001</v>
      </c>
      <c r="X23" s="3" t="n">
        <v>0.0040270350384621</v>
      </c>
      <c r="Y23" s="3" t="n">
        <v>0.012045084206067</v>
      </c>
      <c r="Z23" s="3" t="n">
        <v>-0.0127370305881065</v>
      </c>
      <c r="AA23" s="3" t="n">
        <v>0.006229914385904199</v>
      </c>
      <c r="AB23" s="3" t="n">
        <v>0.0084847183047368</v>
      </c>
      <c r="AC23" s="3" t="n">
        <v>0.0056394281537547</v>
      </c>
      <c r="AD23" s="3" t="n">
        <v>-0.001980574921111</v>
      </c>
      <c r="AE23" s="3" t="n">
        <v>-0.0065071162022023</v>
      </c>
      <c r="AF23" s="3" t="n">
        <v>0.0019776021025345</v>
      </c>
      <c r="AG23" s="3" t="n">
        <v>0.0076170302562892</v>
      </c>
      <c r="AH23" s="3" t="n">
        <v>0.0077044425634147</v>
      </c>
    </row>
    <row r="24">
      <c r="A24" t="inlineStr">
        <is>
          <t>2020-12</t>
        </is>
      </c>
      <c r="B24" s="3" t="n">
        <v>-0.0134496814829007</v>
      </c>
      <c r="C24" s="3" t="n">
        <v>0.0071074655688207</v>
      </c>
      <c r="D24" s="3" t="n">
        <v>0.009734303209099401</v>
      </c>
      <c r="E24" s="3" t="n">
        <v>0.007139300862451901</v>
      </c>
      <c r="F24" s="3" t="n">
        <v>-0.0013557525599087</v>
      </c>
      <c r="G24" s="3" t="n">
        <v>-0.00634221591408</v>
      </c>
      <c r="H24" s="3" t="n">
        <v>0.0033920872950194</v>
      </c>
      <c r="I24" s="3" t="n">
        <v>0.0105313881574713</v>
      </c>
      <c r="J24" s="3" t="n">
        <v>-0.0156239933100656</v>
      </c>
      <c r="K24" s="3" t="n">
        <v>0.008711363441293399</v>
      </c>
      <c r="L24" s="3" t="n">
        <v>0.0113592411321657</v>
      </c>
      <c r="M24" s="3" t="n">
        <v>0.008466937165964</v>
      </c>
      <c r="N24" s="3" t="n">
        <v>-0.0013452773821312</v>
      </c>
      <c r="O24" s="3" t="n">
        <v>-0.0069126298687722</v>
      </c>
      <c r="P24" s="3" t="n">
        <v>0.0044466112633935</v>
      </c>
      <c r="Q24" s="3" t="n">
        <v>0.0129135484293575</v>
      </c>
      <c r="R24" s="3" t="n">
        <v>-0.0175237727136668</v>
      </c>
      <c r="S24" s="3" t="n">
        <v>0.009855729342910799</v>
      </c>
      <c r="T24" s="3" t="n">
        <v>0.0121315449221431</v>
      </c>
      <c r="U24" s="3" t="n">
        <v>0.0079858093286388</v>
      </c>
      <c r="V24" s="3" t="n">
        <v>-0.0017025824807627</v>
      </c>
      <c r="W24" s="3" t="n">
        <v>-0.007668043370756</v>
      </c>
      <c r="X24" s="3" t="n">
        <v>0.0044635015513871</v>
      </c>
      <c r="Y24" s="3" t="n">
        <v>0.0124493108800259</v>
      </c>
      <c r="Z24" s="3" t="n">
        <v>-0.0123268183305277</v>
      </c>
      <c r="AA24" s="3" t="n">
        <v>0.0057423571135442</v>
      </c>
      <c r="AB24" s="3" t="n">
        <v>0.0084737431192021</v>
      </c>
      <c r="AC24" s="3" t="n">
        <v>0.006162902488213301</v>
      </c>
      <c r="AD24" s="3" t="n">
        <v>-0.0023732296288395</v>
      </c>
      <c r="AE24" s="3" t="n">
        <v>-0.0065844612169835</v>
      </c>
      <c r="AF24" s="3" t="n">
        <v>0.0018892819022186</v>
      </c>
      <c r="AG24" s="3" t="n">
        <v>0.008052184390431901</v>
      </c>
      <c r="AH24" s="3" t="n">
        <v>-0.0029457775587919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4" t="inlineStr">
        <is>
          <t>IGAE México 2020 — Escalera de pronóstico M0→M3</t>
        </is>
      </c>
    </row>
    <row r="2">
      <c r="A2" s="5" t="inlineStr">
        <is>
          <t>Corte de información: 15-jun-2020 · Horizonte: abril–diciembre 2020</t>
        </is>
      </c>
    </row>
    <row r="62">
      <c r="A62" s="6" t="inlineStr">
        <is>
          <t>Banda: P5–P95 (claro) y P25–P75 (oscuro, rango intercuartílico). Línea de color = mediana del modelo. Línea negra punteada = IGAE m/m observado.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2026-09-22T06:14:53Z</dcterms:created>
  <dcterms:modified xsi:type="dcterms:W3CDTF">2026-09-22T06:14:53Z</dcterms:modified>
</cp:coreProperties>
</file>