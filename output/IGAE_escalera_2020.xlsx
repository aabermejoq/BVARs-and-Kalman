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Datos_Niveles" sheetId="2" state="visible" r:id="rId2"/>
    <sheet name="Transformaciones_MoM" sheetId="3" state="visible" r:id="rId3"/>
    <sheet name="COVID_Escenarios" sheetId="4" state="visible" r:id="rId4"/>
    <sheet name="GDELT" sheetId="5" state="visible" r:id="rId5"/>
    <sheet name="Modelos" sheetId="6" state="visible" r:id="rId6"/>
    <sheet name="Graficas" sheetId="7" state="visible" r:id="rId7"/>
    <sheet name="Metodolog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  <sz val="16"/>
    </font>
    <font>
      <color rgb="00404040"/>
      <sz val="11"/>
    </font>
    <font>
      <b val="1"/>
    </font>
    <font>
      <b val="1"/>
      <color rgb="00FFFFFF"/>
    </font>
    <font>
      <i val="1"/>
      <color rgb="00595959"/>
      <sz val="9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0" fontId="0" fillId="0" borderId="0" pivotButton="0" quotePrefix="0" xfId="0"/>
    <xf numFmtId="0" fontId="6" fillId="0" borderId="0" pivotButton="0" quotePrefix="0" xfId="0"/>
    <xf numFmtId="10" fontId="3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Mediana por capa vs. IGAE observado</a:t>
            </a:r>
          </a:p>
        </rich>
      </tx>
    </title>
    <plotArea>
      <lineChart>
        <grouping val="standard"/>
        <ser>
          <idx val="0"/>
          <order val="0"/>
          <tx>
            <strRef>
              <f>'Modelos'!D11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'Modelos'!$A$12:$A$20</f>
            </numRef>
          </cat>
          <val>
            <numRef>
              <f>'Modelos'!$D$12:$D$20</f>
            </numRef>
          </val>
          <smooth val="0"/>
        </ser>
        <ser>
          <idx val="1"/>
          <order val="1"/>
          <tx>
            <strRef>
              <f>'Modelos'!I11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'Modelos'!$A$12:$A$20</f>
            </numRef>
          </cat>
          <val>
            <numRef>
              <f>'Modelos'!$I$12:$I$20</f>
            </numRef>
          </val>
          <smooth val="0"/>
        </ser>
        <ser>
          <idx val="2"/>
          <order val="2"/>
          <tx>
            <strRef>
              <f>'Modelos'!N11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'Modelos'!$A$12:$A$20</f>
            </numRef>
          </cat>
          <val>
            <numRef>
              <f>'Modelos'!$N$12:$N$20</f>
            </numRef>
          </val>
          <smooth val="0"/>
        </ser>
        <ser>
          <idx val="3"/>
          <order val="3"/>
          <tx>
            <strRef>
              <f>'Modelos'!S11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'Modelos'!$A$12:$A$20</f>
            </numRef>
          </cat>
          <val>
            <numRef>
              <f>'Modelos'!$S$12:$S$20</f>
            </numRef>
          </val>
          <smooth val="0"/>
        </ser>
        <ser>
          <idx val="4"/>
          <order val="4"/>
          <tx>
            <strRef>
              <f>'Modelos'!V11</f>
            </strRef>
          </tx>
          <spPr>
            <a:ln w="28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>
                <a:srgbClr val="000000"/>
              </a:solidFill>
              <a:ln>
                <a:prstDash val="solid"/>
              </a:ln>
            </spPr>
          </marker>
          <cat>
            <numRef>
              <f>'Modelos'!$A$12:$A$20</f>
            </numRef>
          </cat>
          <val>
            <numRef>
              <f>'Modelos'!$V$12:$V$20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M0 · BVAR Minnesota</a:t>
            </a:r>
          </a:p>
        </rich>
      </tx>
    </title>
    <plotArea>
      <lineChart>
        <grouping val="standard"/>
        <ser>
          <idx val="0"/>
          <order val="0"/>
          <tx>
            <strRef>
              <f>'Modelos'!B11</f>
            </strRef>
          </tx>
          <spPr>
            <a:ln w="10000">
              <a:solidFill>
                <a:srgbClr val="A6A6A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'Modelos'!$A$12:$A$20</f>
            </numRef>
          </cat>
          <val>
            <numRef>
              <f>'Modelos'!$B$12:$B$20</f>
            </numRef>
          </val>
          <smooth val="0"/>
        </ser>
        <ser>
          <idx val="1"/>
          <order val="1"/>
          <tx>
            <strRef>
              <f>'Modelos'!F11</f>
            </strRef>
          </tx>
          <spPr>
            <a:ln w="10000">
              <a:solidFill>
                <a:srgbClr val="A6A6A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'Modelos'!$A$12:$A$20</f>
            </numRef>
          </cat>
          <val>
            <numRef>
              <f>'Modelos'!$F$12:$F$20</f>
            </numRef>
          </val>
          <smooth val="0"/>
        </ser>
        <ser>
          <idx val="2"/>
          <order val="2"/>
          <tx>
            <strRef>
              <f>'Modelos'!D11</f>
            </strRef>
          </tx>
          <spPr>
            <a:ln w="26000">
              <a:solidFill>
                <a:srgbClr val="BDD7E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'Modelos'!$A$12:$A$20</f>
            </numRef>
          </cat>
          <val>
            <numRef>
              <f>'Modelos'!$D$12:$D$20</f>
            </numRef>
          </val>
          <smooth val="0"/>
        </ser>
        <ser>
          <idx val="3"/>
          <order val="3"/>
          <tx>
            <strRef>
              <f>'Modelos'!V11</f>
            </strRef>
          </tx>
          <spPr>
            <a:ln w="26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>
                <a:srgbClr val="000000"/>
              </a:solidFill>
              <a:ln>
                <a:prstDash val="solid"/>
              </a:ln>
            </spPr>
          </marker>
          <cat>
            <numRef>
              <f>'Modelos'!$A$12:$A$20</f>
            </numRef>
          </cat>
          <val>
            <numRef>
              <f>'Modelos'!$V$12:$V$20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M0+M1 · + Kalman / volatilidad estocástica</a:t>
            </a:r>
          </a:p>
        </rich>
      </tx>
    </title>
    <plotArea>
      <lineChart>
        <grouping val="standard"/>
        <ser>
          <idx val="0"/>
          <order val="0"/>
          <tx>
            <strRef>
              <f>'Modelos'!G11</f>
            </strRef>
          </tx>
          <spPr>
            <a:ln w="10000">
              <a:solidFill>
                <a:srgbClr val="A6A6A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'Modelos'!$A$12:$A$20</f>
            </numRef>
          </cat>
          <val>
            <numRef>
              <f>'Modelos'!$G$12:$G$20</f>
            </numRef>
          </val>
          <smooth val="0"/>
        </ser>
        <ser>
          <idx val="1"/>
          <order val="1"/>
          <tx>
            <strRef>
              <f>'Modelos'!K11</f>
            </strRef>
          </tx>
          <spPr>
            <a:ln w="10000">
              <a:solidFill>
                <a:srgbClr val="A6A6A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'Modelos'!$A$12:$A$20</f>
            </numRef>
          </cat>
          <val>
            <numRef>
              <f>'Modelos'!$K$12:$K$20</f>
            </numRef>
          </val>
          <smooth val="0"/>
        </ser>
        <ser>
          <idx val="2"/>
          <order val="2"/>
          <tx>
            <strRef>
              <f>'Modelos'!I11</f>
            </strRef>
          </tx>
          <spPr>
            <a:ln w="26000">
              <a:solidFill>
                <a:srgbClr val="9DC3E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'Modelos'!$A$12:$A$20</f>
            </numRef>
          </cat>
          <val>
            <numRef>
              <f>'Modelos'!$I$12:$I$20</f>
            </numRef>
          </val>
          <smooth val="0"/>
        </ser>
        <ser>
          <idx val="3"/>
          <order val="3"/>
          <tx>
            <strRef>
              <f>'Modelos'!V11</f>
            </strRef>
          </tx>
          <spPr>
            <a:ln w="26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>
                <a:srgbClr val="000000"/>
              </a:solidFill>
              <a:ln>
                <a:prstDash val="solid"/>
              </a:ln>
            </spPr>
          </marker>
          <cat>
            <numRef>
              <f>'Modelos'!$A$12:$A$20</f>
            </numRef>
          </cat>
          <val>
            <numRef>
              <f>'Modelos'!$V$12:$V$20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M0+M1+M2 · + Partículas / Local Projections</a:t>
            </a:r>
          </a:p>
        </rich>
      </tx>
    </title>
    <plotArea>
      <lineChart>
        <grouping val="standard"/>
        <ser>
          <idx val="0"/>
          <order val="0"/>
          <tx>
            <strRef>
              <f>'Modelos'!L11</f>
            </strRef>
          </tx>
          <spPr>
            <a:ln w="10000">
              <a:solidFill>
                <a:srgbClr val="A6A6A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'Modelos'!$A$12:$A$20</f>
            </numRef>
          </cat>
          <val>
            <numRef>
              <f>'Modelos'!$L$12:$L$20</f>
            </numRef>
          </val>
          <smooth val="0"/>
        </ser>
        <ser>
          <idx val="1"/>
          <order val="1"/>
          <tx>
            <strRef>
              <f>'Modelos'!P11</f>
            </strRef>
          </tx>
          <spPr>
            <a:ln w="10000">
              <a:solidFill>
                <a:srgbClr val="A6A6A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'Modelos'!$A$12:$A$20</f>
            </numRef>
          </cat>
          <val>
            <numRef>
              <f>'Modelos'!$P$12:$P$20</f>
            </numRef>
          </val>
          <smooth val="0"/>
        </ser>
        <ser>
          <idx val="2"/>
          <order val="2"/>
          <tx>
            <strRef>
              <f>'Modelos'!N11</f>
            </strRef>
          </tx>
          <spPr>
            <a:ln w="26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'Modelos'!$A$12:$A$20</f>
            </numRef>
          </cat>
          <val>
            <numRef>
              <f>'Modelos'!$N$12:$N$20</f>
            </numRef>
          </val>
          <smooth val="0"/>
        </ser>
        <ser>
          <idx val="3"/>
          <order val="3"/>
          <tx>
            <strRef>
              <f>'Modelos'!V11</f>
            </strRef>
          </tx>
          <spPr>
            <a:ln w="26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>
                <a:srgbClr val="000000"/>
              </a:solidFill>
              <a:ln>
                <a:prstDash val="solid"/>
              </a:ln>
            </spPr>
          </marker>
          <cat>
            <numRef>
              <f>'Modelos'!$A$12:$A$20</f>
            </numRef>
          </cat>
          <val>
            <numRef>
              <f>'Modelos'!$V$12:$V$20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M0+M1+M2+M3 · + Escenarios epi. / GBM / GDELT</a:t>
            </a:r>
          </a:p>
        </rich>
      </tx>
    </title>
    <plotArea>
      <lineChart>
        <grouping val="standard"/>
        <ser>
          <idx val="0"/>
          <order val="0"/>
          <tx>
            <strRef>
              <f>'Modelos'!Q11</f>
            </strRef>
          </tx>
          <spPr>
            <a:ln w="10000">
              <a:solidFill>
                <a:srgbClr val="A6A6A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'Modelos'!$A$12:$A$20</f>
            </numRef>
          </cat>
          <val>
            <numRef>
              <f>'Modelos'!$Q$12:$Q$20</f>
            </numRef>
          </val>
          <smooth val="0"/>
        </ser>
        <ser>
          <idx val="1"/>
          <order val="1"/>
          <tx>
            <strRef>
              <f>'Modelos'!U11</f>
            </strRef>
          </tx>
          <spPr>
            <a:ln w="10000">
              <a:solidFill>
                <a:srgbClr val="A6A6A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'Modelos'!$A$12:$A$20</f>
            </numRef>
          </cat>
          <val>
            <numRef>
              <f>'Modelos'!$U$12:$U$20</f>
            </numRef>
          </val>
          <smooth val="0"/>
        </ser>
        <ser>
          <idx val="2"/>
          <order val="2"/>
          <tx>
            <strRef>
              <f>'Modelos'!S11</f>
            </strRef>
          </tx>
          <spPr>
            <a:ln w="26000">
              <a:solidFill>
                <a:srgbClr val="2E539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'Modelos'!$A$12:$A$20</f>
            </numRef>
          </cat>
          <val>
            <numRef>
              <f>'Modelos'!$S$12:$S$20</f>
            </numRef>
          </val>
          <smooth val="0"/>
        </ser>
        <ser>
          <idx val="3"/>
          <order val="3"/>
          <tx>
            <strRef>
              <f>'Modelos'!V11</f>
            </strRef>
          </tx>
          <spPr>
            <a:ln w="26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>
                <a:srgbClr val="000000"/>
              </a:solidFill>
              <a:ln>
                <a:prstDash val="solid"/>
              </a:ln>
            </spPr>
          </marker>
          <cat>
            <numRef>
              <f>'Modelos'!$A$12:$A$20</f>
            </numRef>
          </cat>
          <val>
            <numRef>
              <f>'Modelos'!$V$12:$V$20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21</row>
      <rowOff>0</rowOff>
    </from>
    <ext cx="576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76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39</row>
      <rowOff>0</rowOff>
    </from>
    <ext cx="576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90" customWidth="1" min="3" max="3"/>
  </cols>
  <sheetData>
    <row r="2">
      <c r="B2" s="1" t="inlineStr">
        <is>
          <t>IGAE México — Escalera de pronóstico 2020</t>
        </is>
      </c>
    </row>
    <row r="3">
      <c r="B3" s="2" t="inlineStr">
        <is>
          <t>M0 (BVAR Minnesota) → M1 (+Kalman/SV) → M2 (+Partículas/LP) → M3 (+Escenarios epi. + GBM + GDELT)</t>
        </is>
      </c>
    </row>
    <row r="5">
      <c r="B5" t="inlineStr">
        <is>
          <t>Corte de información:</t>
        </is>
      </c>
      <c r="C5" t="inlineStr">
        <is>
          <t>15 de junio de 2020 (15 días tras el cierre de mayo)</t>
        </is>
      </c>
    </row>
    <row r="6">
      <c r="B6" t="inlineStr">
        <is>
          <t>Último IGAE oficial conocido al corte:</t>
        </is>
      </c>
      <c r="C6" t="inlineStr">
        <is>
          <t>marzo 2020 (vintage real, rezago de publicación 56 días)</t>
        </is>
      </c>
    </row>
    <row r="7">
      <c r="B7" t="inlineStr">
        <is>
          <t>Horizonte de pronóstico:</t>
        </is>
      </c>
      <c r="C7" t="inlineStr">
        <is>
          <t>abril → diciembre 2020</t>
        </is>
      </c>
    </row>
    <row r="10">
      <c r="B10" s="3" t="inlineStr">
        <is>
          <t>Cómo leer este archivo:</t>
        </is>
      </c>
    </row>
    <row r="11">
      <c r="B11" s="4" t="inlineStr">
        <is>
          <t>1) Datos_Niveles: series mensuales reales (INEGI/Banxico/Yahoo Finance/FRED), en niveles.</t>
        </is>
      </c>
    </row>
    <row r="12">
      <c r="B12" s="4" t="inlineStr">
        <is>
          <t>2) Transformaciones_MoM: fórmulas EN VIVO (log-diferencia o diferencia simple según la naturaleza de cada serie) sobre Datos_Niveles.</t>
        </is>
      </c>
    </row>
    <row r="13">
      <c r="B13" s="4" t="inlineStr">
        <is>
          <t>3) COVID_Escenarios: 4 curvas de crecimiento semanal de casos (fórmulas en vivo desde g0 real y parámetros editables por escenario), con pesos bayesianos de backcast.</t>
        </is>
      </c>
    </row>
    <row r="14">
      <c r="B14" s="4" t="inlineStr">
        <is>
          <t>4) GDELT: tono/volumen mensual de noticias sobre México (dato real, GKG 2.1), con z-score en vivo contra su línea base 2017-2019.</t>
        </is>
      </c>
    </row>
    <row r="15">
      <c r="B15" s="4" t="inlineStr">
        <is>
          <t>5) Modelos: M0/M1/M2 son SALIDA DE SIMULACIÓN (Monte Carlo bayesiano en Python, no reproducible como fórmulas de hoja de cálculo) y se pegan como valores. M3 SÍ es fórmula en vivo: M2 + ajuste por escenarios epidemiológicos + ajuste por GDELT — cambia si usted cambia g0, los parámetros de escenario, los pesos, o cualquier dato de GDELT.</t>
        </is>
      </c>
    </row>
    <row r="16">
      <c r="B16" s="4" t="inlineStr">
        <is>
          <t>6) Graficas: 4 gráficas de banda (una por capa) más una gráfica comparativa de medianas, todas ligadas a la hoja Modelos.</t>
        </is>
      </c>
    </row>
    <row r="17">
      <c r="B17" s="4" t="inlineStr">
        <is>
          <t>7) Metodologia: validación cruzada de variables, calendario de publicación (vintage), y hallazgos honestos — incluida la validación NEGATIVA de GDELT y del puente lineal, que se incluyeron en el modelo por instrucción expresa a pesar de no validar en CV.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5" t="inlineStr">
        <is>
          <t>Fecha</t>
        </is>
      </c>
      <c r="B1" s="5" t="inlineStr">
        <is>
          <t>IGAE</t>
        </is>
      </c>
      <c r="C1" s="5" t="inlineStr">
        <is>
          <t>ActividadIndustrial</t>
        </is>
      </c>
      <c r="D1" s="5" t="inlineStr">
        <is>
          <t>FBCF</t>
        </is>
      </c>
      <c r="E1" s="5" t="inlineStr">
        <is>
          <t>IMCP</t>
        </is>
      </c>
      <c r="F1" s="5" t="inlineStr">
        <is>
          <t>ANTAD</t>
        </is>
      </c>
      <c r="G1" s="5" t="inlineStr">
        <is>
          <t>AUTOS</t>
        </is>
      </c>
      <c r="H1" s="5" t="inlineStr">
        <is>
          <t>TARJETAS</t>
        </is>
      </c>
      <c r="I1" s="5" t="inlineStr">
        <is>
          <t>Desempleo</t>
        </is>
      </c>
      <c r="J1" s="5" t="inlineStr">
        <is>
          <t>IMSS</t>
        </is>
      </c>
      <c r="K1" s="5" t="inlineStr">
        <is>
          <t>EPU</t>
        </is>
      </c>
      <c r="L1" s="5" t="inlineStr">
        <is>
          <t>INPC</t>
        </is>
      </c>
      <c r="M1" s="5" t="inlineStr">
        <is>
          <t>TC</t>
        </is>
      </c>
      <c r="N1" s="5" t="inlineStr">
        <is>
          <t>TIIE</t>
        </is>
      </c>
      <c r="O1" s="5" t="inlineStr">
        <is>
          <t>Balanza</t>
        </is>
      </c>
      <c r="P1" s="5" t="inlineStr">
        <is>
          <t>BMV</t>
        </is>
      </c>
      <c r="Q1" s="5" t="inlineStr">
        <is>
          <t>INDPRO</t>
        </is>
      </c>
    </row>
    <row r="2">
      <c r="A2" t="inlineStr">
        <is>
          <t>2015-01</t>
        </is>
      </c>
      <c r="B2" t="n">
        <v>93.1176195247</v>
      </c>
      <c r="C2" t="n">
        <v>97.51161657580001</v>
      </c>
      <c r="D2" t="n">
        <v>99.1487940798</v>
      </c>
      <c r="E2" t="n">
        <v>93.8688817463</v>
      </c>
      <c r="F2" t="n">
        <v>124.1499250922444</v>
      </c>
      <c r="G2" t="n">
        <v>89.44452008207713</v>
      </c>
      <c r="H2" t="n">
        <v>65.82666975782867</v>
      </c>
      <c r="I2" t="n">
        <v>4.39203264</v>
      </c>
      <c r="J2" t="n">
        <v>17241108</v>
      </c>
      <c r="K2" t="n">
        <v>31.71133692693378</v>
      </c>
      <c r="L2" t="n">
        <v>87.110103</v>
      </c>
      <c r="M2" t="n">
        <v>14.69259</v>
      </c>
      <c r="N2" t="n">
        <v>3.036666666666666</v>
      </c>
      <c r="O2" t="n">
        <v>-563817.5</v>
      </c>
      <c r="P2" t="n">
        <v>40950.578125</v>
      </c>
      <c r="Q2" t="n">
        <v>102.8905</v>
      </c>
    </row>
    <row r="3">
      <c r="A3" t="inlineStr">
        <is>
          <t>2015-02</t>
        </is>
      </c>
      <c r="B3" t="n">
        <v>93.47153206039999</v>
      </c>
      <c r="C3" t="n">
        <v>98.17715038839999</v>
      </c>
      <c r="D3" t="n">
        <v>96.1700117907</v>
      </c>
      <c r="E3" t="n">
        <v>93.9739761659</v>
      </c>
      <c r="F3" t="n">
        <v>125.5194659690597</v>
      </c>
      <c r="G3" t="n">
        <v>90.69533363192814</v>
      </c>
      <c r="H3" t="n">
        <v>67.5427496215877</v>
      </c>
      <c r="I3" t="n">
        <v>4.4468659982</v>
      </c>
      <c r="J3" t="n">
        <v>17293942</v>
      </c>
      <c r="K3" t="n">
        <v>22.28947083889465</v>
      </c>
      <c r="L3" t="n">
        <v>87.27537700000001</v>
      </c>
      <c r="M3" t="n">
        <v>14.92134</v>
      </c>
      <c r="N3" t="n">
        <v>3.059473684210526</v>
      </c>
      <c r="O3" t="n">
        <v>-520528.5</v>
      </c>
      <c r="P3" t="n">
        <v>44190.171875</v>
      </c>
      <c r="Q3" t="n">
        <v>102.2335</v>
      </c>
    </row>
    <row r="4">
      <c r="A4" t="inlineStr">
        <is>
          <t>2015-03</t>
        </is>
      </c>
      <c r="B4" t="n">
        <v>93.6681556554</v>
      </c>
      <c r="C4" t="n">
        <v>97.6593349871</v>
      </c>
      <c r="D4" t="n">
        <v>97.2138550394</v>
      </c>
      <c r="E4" t="n">
        <v>94.1177531317</v>
      </c>
      <c r="F4" t="n">
        <v>125.6657338156088</v>
      </c>
      <c r="G4" t="n">
        <v>92.30587690332334</v>
      </c>
      <c r="H4" t="n">
        <v>68.15384716796885</v>
      </c>
      <c r="I4" t="n">
        <v>4.2755084299</v>
      </c>
      <c r="J4" t="n">
        <v>17349607</v>
      </c>
      <c r="K4" t="n">
        <v>37.87656470547773</v>
      </c>
      <c r="L4" t="n">
        <v>87.630717</v>
      </c>
      <c r="M4" t="n">
        <v>15.22834</v>
      </c>
      <c r="N4" t="n">
        <v>3.074761904761905</v>
      </c>
      <c r="O4" t="n">
        <v>-597025.9000000022</v>
      </c>
      <c r="P4" t="n">
        <v>43724.78125</v>
      </c>
      <c r="Q4" t="n">
        <v>101.8914</v>
      </c>
    </row>
    <row r="5">
      <c r="A5" t="inlineStr">
        <is>
          <t>2015-04</t>
        </is>
      </c>
      <c r="B5" t="n">
        <v>94.5109961269</v>
      </c>
      <c r="C5" t="n">
        <v>98.7413422197</v>
      </c>
      <c r="D5" t="n">
        <v>100.7569503258</v>
      </c>
      <c r="E5" t="n">
        <v>94.37903227859999</v>
      </c>
      <c r="F5" t="n">
        <v>127.4957925596892</v>
      </c>
      <c r="G5" t="n">
        <v>88.82947240560972</v>
      </c>
      <c r="H5" t="n">
        <v>68.47089986463351</v>
      </c>
      <c r="I5" t="n">
        <v>4.3477796777</v>
      </c>
      <c r="J5" t="n">
        <v>17416118</v>
      </c>
      <c r="K5" t="n">
        <v>18.37556762493896</v>
      </c>
      <c r="L5" t="n">
        <v>87.40384</v>
      </c>
      <c r="M5" t="n">
        <v>15.22618</v>
      </c>
      <c r="N5" t="n">
        <v>3.0435</v>
      </c>
      <c r="O5" t="n">
        <v>-970550.1999999993</v>
      </c>
      <c r="P5" t="n">
        <v>44582.390625</v>
      </c>
      <c r="Q5" t="n">
        <v>101.3355</v>
      </c>
    </row>
    <row r="6">
      <c r="A6" t="inlineStr">
        <is>
          <t>2015-05</t>
        </is>
      </c>
      <c r="B6" t="n">
        <v>93.8494644734</v>
      </c>
      <c r="C6" t="n">
        <v>97.86852969989999</v>
      </c>
      <c r="D6" t="n">
        <v>98.6629371306</v>
      </c>
      <c r="E6" t="n">
        <v>94.7043724011</v>
      </c>
      <c r="F6" t="n">
        <v>127.765492026705</v>
      </c>
      <c r="G6" t="n">
        <v>90.18342919321086</v>
      </c>
      <c r="H6" t="n">
        <v>69.88903714092646</v>
      </c>
      <c r="I6" t="n">
        <v>4.3854762421</v>
      </c>
      <c r="J6" t="n">
        <v>17471789</v>
      </c>
      <c r="K6" t="n">
        <v>26.27943728913297</v>
      </c>
      <c r="L6" t="n">
        <v>86.967366</v>
      </c>
      <c r="M6" t="n">
        <v>15.26447</v>
      </c>
      <c r="N6" t="n">
        <v>3.0155</v>
      </c>
      <c r="O6" t="n">
        <v>-1663259.800000001</v>
      </c>
      <c r="P6" t="n">
        <v>44703.62109375</v>
      </c>
      <c r="Q6" t="n">
        <v>100.8883</v>
      </c>
    </row>
    <row r="7">
      <c r="A7" t="inlineStr">
        <is>
          <t>2015-06</t>
        </is>
      </c>
      <c r="B7" t="n">
        <v>94.2951874633</v>
      </c>
      <c r="C7" t="n">
        <v>98.3463970934</v>
      </c>
      <c r="D7" t="n">
        <v>100.7963723726</v>
      </c>
      <c r="E7" t="n">
        <v>94.83671858290001</v>
      </c>
      <c r="F7" t="n">
        <v>129.6877492361805</v>
      </c>
      <c r="G7" t="n">
        <v>93.68193639816369</v>
      </c>
      <c r="H7" t="n">
        <v>69.76675755105306</v>
      </c>
      <c r="I7" t="n">
        <v>4.4134047871</v>
      </c>
      <c r="J7" t="n">
        <v>17538972</v>
      </c>
      <c r="K7" t="n">
        <v>35.39497226799851</v>
      </c>
      <c r="L7" t="n">
        <v>87.113108</v>
      </c>
      <c r="M7" t="n">
        <v>15.48304</v>
      </c>
      <c r="N7" t="n">
        <v>3.101818181818182</v>
      </c>
      <c r="O7" t="n">
        <v>-1443773.200000003</v>
      </c>
      <c r="P7" t="n">
        <v>45053.69921875</v>
      </c>
      <c r="Q7" t="n">
        <v>100.571</v>
      </c>
    </row>
    <row r="8">
      <c r="A8" t="inlineStr">
        <is>
          <t>2015-07</t>
        </is>
      </c>
      <c r="B8" t="n">
        <v>95.02108505309999</v>
      </c>
      <c r="C8" t="n">
        <v>99.4305469272</v>
      </c>
      <c r="D8" t="n">
        <v>102.7063168875</v>
      </c>
      <c r="E8" t="n">
        <v>95.003478065</v>
      </c>
      <c r="F8" t="n">
        <v>130.1182778601639</v>
      </c>
      <c r="G8" t="n">
        <v>93.86486518575312</v>
      </c>
      <c r="H8" t="n">
        <v>70.4044198186896</v>
      </c>
      <c r="I8" t="n">
        <v>4.4911454952</v>
      </c>
      <c r="J8" t="n">
        <v>17598070</v>
      </c>
      <c r="K8" t="n">
        <v>40.53707449325389</v>
      </c>
      <c r="L8" t="n">
        <v>87.24082</v>
      </c>
      <c r="M8" t="n">
        <v>15.93958</v>
      </c>
      <c r="N8" t="n">
        <v>3.100434782608696</v>
      </c>
      <c r="O8" t="n">
        <v>-1103614.399999999</v>
      </c>
      <c r="P8" t="n">
        <v>44752.9296875</v>
      </c>
      <c r="Q8" t="n">
        <v>101.2228</v>
      </c>
    </row>
    <row r="9">
      <c r="A9" t="inlineStr">
        <is>
          <t>2015-08</t>
        </is>
      </c>
      <c r="B9" t="n">
        <v>94.9778326017</v>
      </c>
      <c r="C9" t="n">
        <v>99.76756032759999</v>
      </c>
      <c r="D9" t="n">
        <v>102.2034849678</v>
      </c>
      <c r="E9" t="n">
        <v>95.5113741748</v>
      </c>
      <c r="F9" t="n">
        <v>131.8194737284616</v>
      </c>
      <c r="G9" t="n">
        <v>97.28606202227374</v>
      </c>
      <c r="H9" t="n">
        <v>72.11044701580718</v>
      </c>
      <c r="I9" t="n">
        <v>4.386937725</v>
      </c>
      <c r="J9" t="n">
        <v>17640472</v>
      </c>
      <c r="K9" t="n">
        <v>51.36443484168305</v>
      </c>
      <c r="L9" t="n">
        <v>87.424875</v>
      </c>
      <c r="M9" t="n">
        <v>16.53676</v>
      </c>
      <c r="N9" t="n">
        <v>3.077142857142857</v>
      </c>
      <c r="O9" t="n">
        <v>-2296123.800000001</v>
      </c>
      <c r="P9" t="n">
        <v>43721.9609375</v>
      </c>
      <c r="Q9" t="n">
        <v>101.0367</v>
      </c>
    </row>
    <row r="10">
      <c r="A10" t="inlineStr">
        <is>
          <t>2015-09</t>
        </is>
      </c>
      <c r="B10" t="n">
        <v>96.4307257028</v>
      </c>
      <c r="C10" t="n">
        <v>101.8532617918</v>
      </c>
      <c r="D10" t="n">
        <v>103.3277058608</v>
      </c>
      <c r="E10" t="n">
        <v>96.29247321130001</v>
      </c>
      <c r="F10" t="n">
        <v>131.3257818176225</v>
      </c>
      <c r="G10" t="n">
        <v>97.51619416885779</v>
      </c>
      <c r="H10" t="n">
        <v>72.75945172502357</v>
      </c>
      <c r="I10" t="n">
        <v>4.195666269</v>
      </c>
      <c r="J10" t="n">
        <v>17686088</v>
      </c>
      <c r="K10" t="n">
        <v>56.28963952513516</v>
      </c>
      <c r="L10" t="n">
        <v>87.752419</v>
      </c>
      <c r="M10" t="n">
        <v>16.85776</v>
      </c>
      <c r="N10" t="n">
        <v>3.067619047619048</v>
      </c>
      <c r="O10" t="n">
        <v>-1253737.300000001</v>
      </c>
      <c r="P10" t="n">
        <v>42632.5390625</v>
      </c>
      <c r="Q10" t="n">
        <v>100.7547</v>
      </c>
    </row>
    <row r="11">
      <c r="A11" t="inlineStr">
        <is>
          <t>2015-10</t>
        </is>
      </c>
      <c r="B11" t="n">
        <v>95.2382568486</v>
      </c>
      <c r="C11" t="n">
        <v>99.73329323119999</v>
      </c>
      <c r="D11" t="n">
        <v>99.7363585712</v>
      </c>
      <c r="E11" t="n">
        <v>96.6249690962</v>
      </c>
      <c r="F11" t="n">
        <v>132.1358024838781</v>
      </c>
      <c r="G11" t="n">
        <v>98.51149980338052</v>
      </c>
      <c r="H11" t="n">
        <v>72.5489199155512</v>
      </c>
      <c r="I11" t="n">
        <v>4.4420062455</v>
      </c>
      <c r="J11" t="n">
        <v>17733890</v>
      </c>
      <c r="K11" t="n">
        <v>26.35320503009034</v>
      </c>
      <c r="L11" t="n">
        <v>88.203919</v>
      </c>
      <c r="M11" t="n">
        <v>16.564</v>
      </c>
      <c r="N11" t="n">
        <v>3.044090909090909</v>
      </c>
      <c r="O11" t="n">
        <v>-731876.3000000007</v>
      </c>
      <c r="P11" t="n">
        <v>44542.76171875</v>
      </c>
      <c r="Q11" t="n">
        <v>100.2675</v>
      </c>
    </row>
    <row r="12">
      <c r="A12" t="inlineStr">
        <is>
          <t>2015-11</t>
        </is>
      </c>
      <c r="B12" t="n">
        <v>94.61374085449999</v>
      </c>
      <c r="C12" t="n">
        <v>99.00287971119999</v>
      </c>
      <c r="D12" t="n">
        <v>100.9791678701</v>
      </c>
      <c r="E12" t="n">
        <v>96.4645779194</v>
      </c>
      <c r="F12" t="n">
        <v>131.8568401568696</v>
      </c>
      <c r="G12" t="n">
        <v>98.37852387157044</v>
      </c>
      <c r="H12" t="n">
        <v>76.11728378289106</v>
      </c>
      <c r="I12" t="n">
        <v>4.0642158798</v>
      </c>
      <c r="J12" t="n">
        <v>17785228</v>
      </c>
      <c r="K12" t="n">
        <v>13.53306320129067</v>
      </c>
      <c r="L12" t="n">
        <v>88.685468</v>
      </c>
      <c r="M12" t="n">
        <v>16.63569</v>
      </c>
      <c r="N12" t="n">
        <v>3.072105263157895</v>
      </c>
      <c r="O12" t="n">
        <v>-1716395.299999997</v>
      </c>
      <c r="P12" t="n">
        <v>43418.55078125</v>
      </c>
      <c r="Q12" t="n">
        <v>99.52979999999999</v>
      </c>
    </row>
    <row r="13">
      <c r="A13" t="inlineStr">
        <is>
          <t>2015-12</t>
        </is>
      </c>
      <c r="B13" t="n">
        <v>94.8918389625</v>
      </c>
      <c r="C13" t="n">
        <v>99.46193470110001</v>
      </c>
      <c r="D13" t="n">
        <v>98.68827986140001</v>
      </c>
      <c r="E13" t="n">
        <v>95.7691121962</v>
      </c>
      <c r="F13" t="n">
        <v>134.9248334204967</v>
      </c>
      <c r="G13" t="n">
        <v>99.98988794671546</v>
      </c>
      <c r="H13" t="n">
        <v>75.29775938294824</v>
      </c>
      <c r="I13" t="n">
        <v>4.3069323012</v>
      </c>
      <c r="J13" t="n">
        <v>17825380</v>
      </c>
      <c r="K13" t="n">
        <v>30.03646651464994</v>
      </c>
      <c r="L13" t="n">
        <v>89.046818</v>
      </c>
      <c r="M13" t="n">
        <v>17.06662</v>
      </c>
      <c r="N13" t="n">
        <v>3.243636363636364</v>
      </c>
      <c r="O13" t="n">
        <v>-1676568</v>
      </c>
      <c r="P13" t="n">
        <v>42977.5</v>
      </c>
      <c r="Q13" t="n">
        <v>99.04170000000001</v>
      </c>
    </row>
    <row r="14">
      <c r="A14" t="inlineStr">
        <is>
          <t>2016-01</t>
        </is>
      </c>
      <c r="B14" t="n">
        <v>95.05724428889999</v>
      </c>
      <c r="C14" t="n">
        <v>99.39489586569999</v>
      </c>
      <c r="D14" t="n">
        <v>99.43878899640001</v>
      </c>
      <c r="E14" t="n">
        <v>96.99638721389999</v>
      </c>
      <c r="F14" t="n">
        <v>133.6074186286734</v>
      </c>
      <c r="G14" t="n">
        <v>105.2629220350451</v>
      </c>
      <c r="H14" t="n">
        <v>76.56616788292352</v>
      </c>
      <c r="I14" t="n">
        <v>4.1717624979</v>
      </c>
      <c r="J14" t="n">
        <v>17893239</v>
      </c>
      <c r="K14" t="n">
        <v>53.3134371956217</v>
      </c>
      <c r="L14" t="n">
        <v>89.386381</v>
      </c>
      <c r="M14" t="n">
        <v>18.07277</v>
      </c>
      <c r="N14" t="n">
        <v>3.2805</v>
      </c>
      <c r="O14" t="n">
        <v>-804932.9000000022</v>
      </c>
      <c r="P14" t="n">
        <v>43630.76953125</v>
      </c>
      <c r="Q14" t="n">
        <v>99.5607</v>
      </c>
    </row>
    <row r="15">
      <c r="A15" t="inlineStr">
        <is>
          <t>2016-02</t>
        </is>
      </c>
      <c r="B15" t="n">
        <v>95.55086040720001</v>
      </c>
      <c r="C15" t="n">
        <v>99.5197825318</v>
      </c>
      <c r="D15" t="n">
        <v>101.3048689729</v>
      </c>
      <c r="E15" t="n">
        <v>96.2893903714</v>
      </c>
      <c r="F15" t="n">
        <v>134.0142044031095</v>
      </c>
      <c r="G15" t="n">
        <v>101.5747022447586</v>
      </c>
      <c r="H15" t="n">
        <v>76.5666684495397</v>
      </c>
      <c r="I15" t="n">
        <v>4.2550320258</v>
      </c>
      <c r="J15" t="n">
        <v>17949911</v>
      </c>
      <c r="K15" t="n">
        <v>41.25225588857349</v>
      </c>
      <c r="L15" t="n">
        <v>89.777781</v>
      </c>
      <c r="M15" t="n">
        <v>18.4731</v>
      </c>
      <c r="N15" t="n">
        <v>3.4855</v>
      </c>
      <c r="O15" t="n">
        <v>-1909589</v>
      </c>
      <c r="P15" t="n">
        <v>43714.9296875</v>
      </c>
      <c r="Q15" t="n">
        <v>99.0445</v>
      </c>
    </row>
    <row r="16">
      <c r="A16" t="inlineStr">
        <is>
          <t>2016-03</t>
        </is>
      </c>
      <c r="B16" t="n">
        <v>95.09579503019999</v>
      </c>
      <c r="C16" t="n">
        <v>98.75366820479999</v>
      </c>
      <c r="D16" t="n">
        <v>99.70268797830001</v>
      </c>
      <c r="E16" t="n">
        <v>96.44040310939999</v>
      </c>
      <c r="F16" t="n">
        <v>134.5935630965143</v>
      </c>
      <c r="G16" t="n">
        <v>102.3214356517112</v>
      </c>
      <c r="H16" t="n">
        <v>77.16548342926419</v>
      </c>
      <c r="I16" t="n">
        <v>4.143846366</v>
      </c>
      <c r="J16" t="n">
        <v>18000875</v>
      </c>
      <c r="K16" t="n">
        <v>40.6359952737883</v>
      </c>
      <c r="L16" t="n">
        <v>89.91000099999999</v>
      </c>
      <c r="M16" t="n">
        <v>17.64905</v>
      </c>
      <c r="N16" t="n">
        <v>3.792</v>
      </c>
      <c r="O16" t="n">
        <v>-1936736.800000001</v>
      </c>
      <c r="P16" t="n">
        <v>45881.078125</v>
      </c>
      <c r="Q16" t="n">
        <v>98.3096</v>
      </c>
    </row>
    <row r="17">
      <c r="A17" t="inlineStr">
        <is>
          <t>2016-04</t>
        </is>
      </c>
      <c r="B17" t="n">
        <v>95.1868157383</v>
      </c>
      <c r="C17" t="n">
        <v>98.7004809173</v>
      </c>
      <c r="D17" t="n">
        <v>99.8123912487</v>
      </c>
      <c r="E17" t="n">
        <v>95.8825226419</v>
      </c>
      <c r="F17" t="n">
        <v>141.8848129369108</v>
      </c>
      <c r="G17" t="n">
        <v>105.73048980819</v>
      </c>
      <c r="H17" t="n">
        <v>78.28706652112425</v>
      </c>
      <c r="I17" t="n">
        <v>3.8230935617</v>
      </c>
      <c r="J17" t="n">
        <v>18048044</v>
      </c>
      <c r="K17" t="n">
        <v>29.3007101675592</v>
      </c>
      <c r="L17" t="n">
        <v>89.62527799999999</v>
      </c>
      <c r="M17" t="n">
        <v>17.48768</v>
      </c>
      <c r="N17" t="n">
        <v>3.768095238095238</v>
      </c>
      <c r="O17" t="n">
        <v>-1925443</v>
      </c>
      <c r="P17" t="n">
        <v>45784.76953125</v>
      </c>
      <c r="Q17" t="n">
        <v>98.6421</v>
      </c>
    </row>
    <row r="18">
      <c r="A18" t="inlineStr">
        <is>
          <t>2016-05</t>
        </is>
      </c>
      <c r="B18" t="n">
        <v>95.5218207985</v>
      </c>
      <c r="C18" t="n">
        <v>98.9679101144</v>
      </c>
      <c r="D18" t="n">
        <v>98.6950309227</v>
      </c>
      <c r="E18" t="n">
        <v>96.0857158586</v>
      </c>
      <c r="F18" t="n">
        <v>132.8642010143567</v>
      </c>
      <c r="G18" t="n">
        <v>110.3221422469092</v>
      </c>
      <c r="H18" t="n">
        <v>79.8416054704926</v>
      </c>
      <c r="I18" t="n">
        <v>3.9539140453</v>
      </c>
      <c r="J18" t="n">
        <v>18117102</v>
      </c>
      <c r="K18" t="n">
        <v>24.35833754551093</v>
      </c>
      <c r="L18" t="n">
        <v>89.225615</v>
      </c>
      <c r="M18" t="n">
        <v>18.15419</v>
      </c>
      <c r="N18" t="n">
        <v>3.804090909090909</v>
      </c>
      <c r="O18" t="n">
        <v>-955765.3999999984</v>
      </c>
      <c r="P18" t="n">
        <v>45459.44921875</v>
      </c>
      <c r="Q18" t="n">
        <v>98.41840000000001</v>
      </c>
    </row>
    <row r="19">
      <c r="A19" t="inlineStr">
        <is>
          <t>2016-06</t>
        </is>
      </c>
      <c r="B19" t="n">
        <v>95.9257038441</v>
      </c>
      <c r="C19" t="n">
        <v>98.67900408280001</v>
      </c>
      <c r="D19" t="n">
        <v>99.2799756324</v>
      </c>
      <c r="E19" t="n">
        <v>96.5834801253</v>
      </c>
      <c r="F19" t="n">
        <v>137.715982326756</v>
      </c>
      <c r="G19" t="n">
        <v>115.0938208066227</v>
      </c>
      <c r="H19" t="n">
        <v>80.70107421814629</v>
      </c>
      <c r="I19" t="n">
        <v>3.9216688273</v>
      </c>
      <c r="J19" t="n">
        <v>18182255</v>
      </c>
      <c r="K19" t="n">
        <v>52.31668484018083</v>
      </c>
      <c r="L19" t="n">
        <v>89.324028</v>
      </c>
      <c r="M19" t="n">
        <v>18.65297</v>
      </c>
      <c r="N19" t="n">
        <v>3.831818181818182</v>
      </c>
      <c r="O19" t="n">
        <v>-1326052.099999998</v>
      </c>
      <c r="P19" t="n">
        <v>45966.48828125</v>
      </c>
      <c r="Q19" t="n">
        <v>98.88330000000001</v>
      </c>
    </row>
    <row r="20">
      <c r="A20" t="inlineStr">
        <is>
          <t>2016-07</t>
        </is>
      </c>
      <c r="B20" t="n">
        <v>95.8317719855</v>
      </c>
      <c r="C20" t="n">
        <v>98.69296420329999</v>
      </c>
      <c r="D20" t="n">
        <v>97.5043019198</v>
      </c>
      <c r="E20" t="n">
        <v>96.754488595</v>
      </c>
      <c r="F20" t="n">
        <v>139.3703804025556</v>
      </c>
      <c r="G20" t="n">
        <v>112.5239699090936</v>
      </c>
      <c r="H20" t="n">
        <v>82.10091003599767</v>
      </c>
      <c r="I20" t="n">
        <v>3.8114746324</v>
      </c>
      <c r="J20" t="n">
        <v>18248586</v>
      </c>
      <c r="K20" t="n">
        <v>34.59252140957218</v>
      </c>
      <c r="L20" t="n">
        <v>89.55691400000001</v>
      </c>
      <c r="M20" t="n">
        <v>18.60144</v>
      </c>
      <c r="N20" t="n">
        <v>4.263333333333334</v>
      </c>
      <c r="O20" t="n">
        <v>-940431.799999997</v>
      </c>
      <c r="P20" t="n">
        <v>46660.671875</v>
      </c>
      <c r="Q20" t="n">
        <v>98.9992</v>
      </c>
    </row>
    <row r="21">
      <c r="A21" t="inlineStr">
        <is>
          <t>2016-08</t>
        </is>
      </c>
      <c r="B21" t="n">
        <v>96.1398469655</v>
      </c>
      <c r="C21" t="n">
        <v>98.79131983480001</v>
      </c>
      <c r="D21" t="n">
        <v>100.7256839439</v>
      </c>
      <c r="E21" t="n">
        <v>96.9384957963</v>
      </c>
      <c r="F21" t="n">
        <v>140.649503714217</v>
      </c>
      <c r="G21" t="n">
        <v>113.4712590403285</v>
      </c>
      <c r="H21" t="n">
        <v>82.31363280283571</v>
      </c>
      <c r="I21" t="n">
        <v>3.7628251135</v>
      </c>
      <c r="J21" t="n">
        <v>18310239</v>
      </c>
      <c r="K21" t="n">
        <v>27.21035563007379</v>
      </c>
      <c r="L21" t="n">
        <v>89.809333</v>
      </c>
      <c r="M21" t="n">
        <v>18.47487</v>
      </c>
      <c r="N21" t="n">
        <v>4.288260869565217</v>
      </c>
      <c r="O21" t="n">
        <v>-918249.0999999978</v>
      </c>
      <c r="P21" t="n">
        <v>47541.3203125</v>
      </c>
      <c r="Q21" t="n">
        <v>98.84999999999999</v>
      </c>
    </row>
    <row r="22">
      <c r="A22" t="inlineStr">
        <is>
          <t>2016-09</t>
        </is>
      </c>
      <c r="B22" t="n">
        <v>96.7553160227</v>
      </c>
      <c r="C22" t="n">
        <v>99.15001093790001</v>
      </c>
      <c r="D22" t="n">
        <v>100.47351045</v>
      </c>
      <c r="E22" t="n">
        <v>97.064173764</v>
      </c>
      <c r="F22" t="n">
        <v>142.1849034413878</v>
      </c>
      <c r="G22" t="n">
        <v>115.861425765284</v>
      </c>
      <c r="H22" t="n">
        <v>83.70575923398511</v>
      </c>
      <c r="I22" t="n">
        <v>3.844170274</v>
      </c>
      <c r="J22" t="n">
        <v>18389961</v>
      </c>
      <c r="K22" t="n">
        <v>47.65531638908002</v>
      </c>
      <c r="L22" t="n">
        <v>90.357744</v>
      </c>
      <c r="M22" t="n">
        <v>19.19241</v>
      </c>
      <c r="N22" t="n">
        <v>4.331428571428572</v>
      </c>
      <c r="O22" t="n">
        <v>-872207</v>
      </c>
      <c r="P22" t="n">
        <v>47245.80078125</v>
      </c>
      <c r="Q22" t="n">
        <v>98.7457</v>
      </c>
    </row>
    <row r="23">
      <c r="A23" t="inlineStr">
        <is>
          <t>2016-10</t>
        </is>
      </c>
      <c r="B23" t="n">
        <v>97.00035906310001</v>
      </c>
      <c r="C23" t="n">
        <v>99.101706216</v>
      </c>
      <c r="D23" t="n">
        <v>101.7548287738</v>
      </c>
      <c r="E23" t="n">
        <v>97.2795864408</v>
      </c>
      <c r="F23" t="n">
        <v>142.0259010703076</v>
      </c>
      <c r="G23" t="n">
        <v>117.5092864032621</v>
      </c>
      <c r="H23" t="n">
        <v>85.2824852605487</v>
      </c>
      <c r="I23" t="n">
        <v>3.5852178659</v>
      </c>
      <c r="J23" t="n">
        <v>18446347</v>
      </c>
      <c r="K23" t="n">
        <v>47.58549766356053</v>
      </c>
      <c r="L23" t="n">
        <v>90.906154</v>
      </c>
      <c r="M23" t="n">
        <v>18.89241</v>
      </c>
      <c r="N23" t="n">
        <v>4.768571428571429</v>
      </c>
      <c r="O23" t="n">
        <v>-286225.3999999985</v>
      </c>
      <c r="P23" t="n">
        <v>48009.28125</v>
      </c>
      <c r="Q23" t="n">
        <v>98.7611</v>
      </c>
    </row>
    <row r="24">
      <c r="A24" t="inlineStr">
        <is>
          <t>2016-11</t>
        </is>
      </c>
      <c r="B24" t="n">
        <v>97.2423081007</v>
      </c>
      <c r="C24" t="n">
        <v>100.245215314</v>
      </c>
      <c r="D24" t="n">
        <v>103.1315443533</v>
      </c>
      <c r="E24" t="n">
        <v>97.1421794428</v>
      </c>
      <c r="F24" t="n">
        <v>142.7834827894043</v>
      </c>
      <c r="G24" t="n">
        <v>113.7672405285476</v>
      </c>
      <c r="H24" t="n">
        <v>85.04798230325827</v>
      </c>
      <c r="I24" t="n">
        <v>3.5939750222</v>
      </c>
      <c r="J24" t="n">
        <v>18505949</v>
      </c>
      <c r="K24" t="n">
        <v>89.25954907951622</v>
      </c>
      <c r="L24" t="n">
        <v>91.616834</v>
      </c>
      <c r="M24" t="n">
        <v>20.11846</v>
      </c>
      <c r="N24" t="n">
        <v>4.997999999999999</v>
      </c>
      <c r="O24" t="n">
        <v>-231370.5</v>
      </c>
      <c r="P24" t="n">
        <v>45315.9609375</v>
      </c>
      <c r="Q24" t="n">
        <v>98.34910000000001</v>
      </c>
    </row>
    <row r="25">
      <c r="A25" t="inlineStr">
        <is>
          <t>2016-12</t>
        </is>
      </c>
      <c r="B25" t="n">
        <v>97.71742797580001</v>
      </c>
      <c r="C25" t="n">
        <v>99.9369988088</v>
      </c>
      <c r="D25" t="n">
        <v>102.8318041586</v>
      </c>
      <c r="E25" t="n">
        <v>98.9667633079</v>
      </c>
      <c r="F25" t="n">
        <v>143.4644975857778</v>
      </c>
      <c r="G25" t="n">
        <v>122.011949380711</v>
      </c>
      <c r="H25" t="n">
        <v>86.90846544956176</v>
      </c>
      <c r="I25" t="n">
        <v>3.6364384846</v>
      </c>
      <c r="J25" t="n">
        <v>18554818</v>
      </c>
      <c r="K25" t="n">
        <v>108.774044655976</v>
      </c>
      <c r="L25" t="n">
        <v>92.039035</v>
      </c>
      <c r="M25" t="n">
        <v>20.52058</v>
      </c>
      <c r="N25" t="n">
        <v>5.568095238095238</v>
      </c>
      <c r="O25" t="n">
        <v>-938997.0999999978</v>
      </c>
      <c r="P25" t="n">
        <v>45642.8984375</v>
      </c>
      <c r="Q25" t="n">
        <v>99.0214</v>
      </c>
    </row>
    <row r="26">
      <c r="A26" t="inlineStr">
        <is>
          <t>2017-01</t>
        </is>
      </c>
      <c r="B26" t="n">
        <v>98.0066738913</v>
      </c>
      <c r="C26" t="n">
        <v>100.6471041897</v>
      </c>
      <c r="D26" t="n">
        <v>100.8876721402</v>
      </c>
      <c r="E26" t="n">
        <v>97.7131882576</v>
      </c>
      <c r="F26" t="n">
        <v>141.7921190955498</v>
      </c>
      <c r="G26" t="n">
        <v>111.366694595316</v>
      </c>
      <c r="H26" t="n">
        <v>86.67420681775967</v>
      </c>
      <c r="I26" t="n">
        <v>3.5353375165</v>
      </c>
      <c r="J26" t="n">
        <v>18619235</v>
      </c>
      <c r="K26" t="n">
        <v>161.4682254944506</v>
      </c>
      <c r="L26" t="n">
        <v>93.603882</v>
      </c>
      <c r="M26" t="n">
        <v>21.38527</v>
      </c>
      <c r="N26" t="n">
        <v>5.769545454545455</v>
      </c>
      <c r="O26" t="n">
        <v>-581810.9000000022</v>
      </c>
      <c r="P26" t="n">
        <v>47001.05859375</v>
      </c>
      <c r="Q26" t="n">
        <v>98.7611</v>
      </c>
    </row>
    <row r="27">
      <c r="A27" t="inlineStr">
        <is>
          <t>2017-02</t>
        </is>
      </c>
      <c r="B27" t="n">
        <v>97.5461597747</v>
      </c>
      <c r="C27" t="n">
        <v>100.1940154004</v>
      </c>
      <c r="D27" t="n">
        <v>99.4654318531</v>
      </c>
      <c r="E27" t="n">
        <v>98.37879376079999</v>
      </c>
      <c r="F27" t="n">
        <v>142.4517250632048</v>
      </c>
      <c r="G27" t="n">
        <v>110.030430303926</v>
      </c>
      <c r="H27" t="n">
        <v>87.62768853924524</v>
      </c>
      <c r="I27" t="n">
        <v>3.4686833878</v>
      </c>
      <c r="J27" t="n">
        <v>18683303</v>
      </c>
      <c r="K27" t="n">
        <v>99.24703755369129</v>
      </c>
      <c r="L27" t="n">
        <v>94.14478</v>
      </c>
      <c r="M27" t="n">
        <v>20.29054</v>
      </c>
      <c r="N27" t="n">
        <v>6.13421052631579</v>
      </c>
      <c r="O27" t="n">
        <v>-558237.5</v>
      </c>
      <c r="P27" t="n">
        <v>46856.7890625</v>
      </c>
      <c r="Q27" t="n">
        <v>98.3646</v>
      </c>
    </row>
    <row r="28">
      <c r="A28" t="inlineStr">
        <is>
          <t>2017-03</t>
        </is>
      </c>
      <c r="B28" t="n">
        <v>97.8738131602</v>
      </c>
      <c r="C28" t="n">
        <v>100.8881885956</v>
      </c>
      <c r="D28" t="n">
        <v>100.4339102413</v>
      </c>
      <c r="E28" t="n">
        <v>98.3056414269</v>
      </c>
      <c r="F28" t="n">
        <v>143.1930785793498</v>
      </c>
      <c r="G28" t="n">
        <v>110.1628966441175</v>
      </c>
      <c r="H28" t="n">
        <v>88.16733153437549</v>
      </c>
      <c r="I28" t="n">
        <v>3.5268245736</v>
      </c>
      <c r="J28" t="n">
        <v>18763532</v>
      </c>
      <c r="K28" t="n">
        <v>69.89384801077814</v>
      </c>
      <c r="L28" t="n">
        <v>94.722489</v>
      </c>
      <c r="M28" t="n">
        <v>19.30103</v>
      </c>
      <c r="N28" t="n">
        <v>6.314545454545454</v>
      </c>
      <c r="O28" t="n">
        <v>-1157083.5</v>
      </c>
      <c r="P28" t="n">
        <v>48541.55859375</v>
      </c>
      <c r="Q28" t="n">
        <v>99.0137</v>
      </c>
    </row>
    <row r="29">
      <c r="A29" t="inlineStr">
        <is>
          <t>2017-04</t>
        </is>
      </c>
      <c r="B29" t="n">
        <v>97.84874060929999</v>
      </c>
      <c r="C29" t="n">
        <v>99.78918636980001</v>
      </c>
      <c r="D29" t="n">
        <v>97.285169884</v>
      </c>
      <c r="E29" t="n">
        <v>98.57574565349999</v>
      </c>
      <c r="F29" t="n">
        <v>139.8352572396504</v>
      </c>
      <c r="G29" t="n">
        <v>112.3176624784136</v>
      </c>
      <c r="H29" t="n">
        <v>90.2162236660521</v>
      </c>
      <c r="I29" t="n">
        <v>3.475798118</v>
      </c>
      <c r="J29" t="n">
        <v>18830581</v>
      </c>
      <c r="K29" t="n">
        <v>48.14061572551249</v>
      </c>
      <c r="L29" t="n">
        <v>94.838933</v>
      </c>
      <c r="M29" t="n">
        <v>18.78748</v>
      </c>
      <c r="N29" t="n">
        <v>6.580555555555556</v>
      </c>
      <c r="O29" t="n">
        <v>-182812</v>
      </c>
      <c r="P29" t="n">
        <v>49261.328125</v>
      </c>
      <c r="Q29" t="n">
        <v>100.0224</v>
      </c>
    </row>
    <row r="30">
      <c r="A30" t="inlineStr">
        <is>
          <t>2017-05</t>
        </is>
      </c>
      <c r="B30" t="n">
        <v>97.6480260137</v>
      </c>
      <c r="C30" t="n">
        <v>99.83098211230001</v>
      </c>
      <c r="D30" t="n">
        <v>99.63979462499999</v>
      </c>
      <c r="E30" t="n">
        <v>98.4237910362</v>
      </c>
      <c r="F30" t="n">
        <v>141.8842722244289</v>
      </c>
      <c r="G30" t="n">
        <v>108.8480274435933</v>
      </c>
      <c r="H30" t="n">
        <v>89.29655980890853</v>
      </c>
      <c r="I30" t="n">
        <v>3.5076982466</v>
      </c>
      <c r="J30" t="n">
        <v>18894485</v>
      </c>
      <c r="K30" t="n">
        <v>61.22902287003706</v>
      </c>
      <c r="L30" t="n">
        <v>94.725494</v>
      </c>
      <c r="M30" t="n">
        <v>18.75566</v>
      </c>
      <c r="N30" t="n">
        <v>6.633636363636364</v>
      </c>
      <c r="O30" t="n">
        <v>-1526798.800000004</v>
      </c>
      <c r="P30" t="n">
        <v>48788.44140625</v>
      </c>
      <c r="Q30" t="n">
        <v>100.1408</v>
      </c>
    </row>
    <row r="31">
      <c r="A31" t="inlineStr">
        <is>
          <t>2017-06</t>
        </is>
      </c>
      <c r="B31" t="n">
        <v>98.15567571859999</v>
      </c>
      <c r="C31" t="n">
        <v>99.9062642183</v>
      </c>
      <c r="D31" t="n">
        <v>100.482518839</v>
      </c>
      <c r="E31" t="n">
        <v>98.5981844484</v>
      </c>
      <c r="F31" t="n">
        <v>142.2060815415726</v>
      </c>
      <c r="G31" t="n">
        <v>108.1758915630811</v>
      </c>
      <c r="H31" t="n">
        <v>90.35126353697538</v>
      </c>
      <c r="I31" t="n">
        <v>3.2768759559</v>
      </c>
      <c r="J31" t="n">
        <v>18981417</v>
      </c>
      <c r="K31" t="n">
        <v>42.05119538825183</v>
      </c>
      <c r="L31" t="n">
        <v>94.96364</v>
      </c>
      <c r="M31" t="n">
        <v>18.13261</v>
      </c>
      <c r="N31" t="n">
        <v>6.85</v>
      </c>
      <c r="O31" t="n">
        <v>-808759.1999999955</v>
      </c>
      <c r="P31" t="n">
        <v>49857.48828125</v>
      </c>
      <c r="Q31" t="n">
        <v>100.3471</v>
      </c>
    </row>
    <row r="32">
      <c r="A32" t="inlineStr">
        <is>
          <t>2017-07</t>
        </is>
      </c>
      <c r="B32" t="n">
        <v>97.29396980840001</v>
      </c>
      <c r="C32" t="n">
        <v>99.1230093998</v>
      </c>
      <c r="D32" t="n">
        <v>99.1794116497</v>
      </c>
      <c r="E32" t="n">
        <v>98.41585878719999</v>
      </c>
      <c r="F32" t="n">
        <v>141.978566049534</v>
      </c>
      <c r="G32" t="n">
        <v>107.491527073534</v>
      </c>
      <c r="H32" t="n">
        <v>90.36685838740696</v>
      </c>
      <c r="I32" t="n">
        <v>3.2563884119</v>
      </c>
      <c r="J32" t="n">
        <v>19049172</v>
      </c>
      <c r="K32" t="n">
        <v>23.74501182826586</v>
      </c>
      <c r="L32" t="n">
        <v>95.32273600000001</v>
      </c>
      <c r="M32" t="n">
        <v>17.82834</v>
      </c>
      <c r="N32" t="n">
        <v>7.057619047619048</v>
      </c>
      <c r="O32" t="n">
        <v>-717619.599999994</v>
      </c>
      <c r="P32" t="n">
        <v>51011.87109375</v>
      </c>
      <c r="Q32" t="n">
        <v>100.1068</v>
      </c>
    </row>
    <row r="33">
      <c r="A33" t="inlineStr">
        <is>
          <t>2017-08</t>
        </is>
      </c>
      <c r="B33" t="n">
        <v>98.3327560993</v>
      </c>
      <c r="C33" t="n">
        <v>99.7282104003</v>
      </c>
      <c r="D33" t="n">
        <v>100.1018571265</v>
      </c>
      <c r="E33" t="n">
        <v>100.3508520283</v>
      </c>
      <c r="F33" t="n">
        <v>142.2305286684661</v>
      </c>
      <c r="G33" t="n">
        <v>105.004624451124</v>
      </c>
      <c r="H33" t="n">
        <v>91.68193274911344</v>
      </c>
      <c r="I33" t="n">
        <v>3.3333464531</v>
      </c>
      <c r="J33" t="n">
        <v>19126140</v>
      </c>
      <c r="K33" t="n">
        <v>52.71893553451954</v>
      </c>
      <c r="L33" t="n">
        <v>95.793768</v>
      </c>
      <c r="M33" t="n">
        <v>17.80703</v>
      </c>
      <c r="N33" t="n">
        <v>7.043478260869565</v>
      </c>
      <c r="O33" t="n">
        <v>-1623084.600000001</v>
      </c>
      <c r="P33" t="n">
        <v>51210.48046875</v>
      </c>
      <c r="Q33" t="n">
        <v>99.6925</v>
      </c>
    </row>
    <row r="34">
      <c r="A34" t="inlineStr">
        <is>
          <t>2017-09</t>
        </is>
      </c>
      <c r="B34" t="n">
        <v>97.15327981430001</v>
      </c>
      <c r="C34" t="n">
        <v>98.7482198127</v>
      </c>
      <c r="D34" t="n">
        <v>99.9738346348</v>
      </c>
      <c r="E34" t="n">
        <v>98.2848351131</v>
      </c>
      <c r="F34" t="n">
        <v>142.7757089595951</v>
      </c>
      <c r="G34" t="n">
        <v>101.4417492764034</v>
      </c>
      <c r="H34" t="n">
        <v>91.04585376437764</v>
      </c>
      <c r="I34" t="n">
        <v>3.3407483491</v>
      </c>
      <c r="J34" t="n">
        <v>19172922</v>
      </c>
      <c r="K34" t="n">
        <v>27.02212216413927</v>
      </c>
      <c r="L34" t="n">
        <v>96.093515</v>
      </c>
      <c r="M34" t="n">
        <v>17.83565</v>
      </c>
      <c r="N34" t="n">
        <v>7.045238095238095</v>
      </c>
      <c r="O34" t="n">
        <v>-1230842.399999999</v>
      </c>
      <c r="P34" t="n">
        <v>50346.05859375</v>
      </c>
      <c r="Q34" t="n">
        <v>99.7954</v>
      </c>
    </row>
    <row r="35">
      <c r="A35" t="inlineStr">
        <is>
          <t>2017-10</t>
        </is>
      </c>
      <c r="B35" t="n">
        <v>98.4680564941</v>
      </c>
      <c r="C35" t="n">
        <v>99.86478553880001</v>
      </c>
      <c r="D35" t="n">
        <v>99.48510015079999</v>
      </c>
      <c r="E35" t="n">
        <v>99.1427695917</v>
      </c>
      <c r="F35" t="n">
        <v>142.9596197144776</v>
      </c>
      <c r="G35" t="n">
        <v>105.6118626978772</v>
      </c>
      <c r="H35" t="n">
        <v>92.5014058316649</v>
      </c>
      <c r="I35" t="n">
        <v>3.4445542268</v>
      </c>
      <c r="J35" t="n">
        <v>19247809</v>
      </c>
      <c r="K35" t="n">
        <v>67.03946593367142</v>
      </c>
      <c r="L35" t="n">
        <v>96.698269</v>
      </c>
      <c r="M35" t="n">
        <v>18.8161</v>
      </c>
      <c r="N35" t="n">
        <v>7.04</v>
      </c>
      <c r="O35" t="n">
        <v>-1392826</v>
      </c>
      <c r="P35" t="n">
        <v>48625.53125</v>
      </c>
      <c r="Q35" t="n">
        <v>101.0247</v>
      </c>
    </row>
    <row r="36">
      <c r="A36" t="inlineStr">
        <is>
          <t>2017-11</t>
        </is>
      </c>
      <c r="B36" t="n">
        <v>99.2000086434</v>
      </c>
      <c r="C36" t="n">
        <v>100.0303941832</v>
      </c>
      <c r="D36" t="n">
        <v>99.4975463466</v>
      </c>
      <c r="E36" t="n">
        <v>99.08313781290001</v>
      </c>
      <c r="F36" t="n">
        <v>143.6181078535245</v>
      </c>
      <c r="G36" t="n">
        <v>104.8321439416613</v>
      </c>
      <c r="H36" t="n">
        <v>92.89862076547928</v>
      </c>
      <c r="I36" t="n">
        <v>3.5001015971</v>
      </c>
      <c r="J36" t="n">
        <v>19294145</v>
      </c>
      <c r="K36" t="n">
        <v>63.94220009908923</v>
      </c>
      <c r="L36" t="n">
        <v>97.69517399999999</v>
      </c>
      <c r="M36" t="n">
        <v>18.91578</v>
      </c>
      <c r="N36" t="n">
        <v>7.025499999999999</v>
      </c>
      <c r="O36" t="n">
        <v>21824.70000000298</v>
      </c>
      <c r="P36" t="n">
        <v>47092.44140625</v>
      </c>
      <c r="Q36" t="n">
        <v>101.2664</v>
      </c>
    </row>
    <row r="37">
      <c r="A37" t="inlineStr">
        <is>
          <t>2017-12</t>
        </is>
      </c>
      <c r="B37" t="n">
        <v>99.8332098205</v>
      </c>
      <c r="C37" t="n">
        <v>100.735973371</v>
      </c>
      <c r="D37" t="n">
        <v>102.6613916298</v>
      </c>
      <c r="E37" t="n">
        <v>99.4327463106</v>
      </c>
      <c r="F37" t="n">
        <v>144.0877648726255</v>
      </c>
      <c r="G37" t="n">
        <v>104.3221322330505</v>
      </c>
      <c r="H37" t="n">
        <v>94.77549296143007</v>
      </c>
      <c r="I37" t="n">
        <v>3.3907538027</v>
      </c>
      <c r="J37" t="n">
        <v>19357112</v>
      </c>
      <c r="K37" t="n">
        <v>59.61513843475345</v>
      </c>
      <c r="L37" t="n">
        <v>98.27288299999999</v>
      </c>
      <c r="M37" t="n">
        <v>19.18122</v>
      </c>
      <c r="N37" t="n">
        <v>7.222631578947368</v>
      </c>
      <c r="O37" t="n">
        <v>-1447394.399999999</v>
      </c>
      <c r="P37" t="n">
        <v>49354.421875</v>
      </c>
      <c r="Q37" t="n">
        <v>101.4644</v>
      </c>
    </row>
    <row r="38">
      <c r="A38" t="inlineStr">
        <is>
          <t>2018-01</t>
        </is>
      </c>
      <c r="B38" t="n">
        <v>99.1312891102</v>
      </c>
      <c r="C38" t="n">
        <v>99.8424486988</v>
      </c>
      <c r="D38" t="n">
        <v>100.4305969915</v>
      </c>
      <c r="E38" t="n">
        <v>99.69678986629999</v>
      </c>
      <c r="F38" t="n">
        <v>145.6982921624295</v>
      </c>
      <c r="G38" t="n">
        <v>96.76891212964937</v>
      </c>
      <c r="H38" t="n">
        <v>95.69368290866451</v>
      </c>
      <c r="I38" t="n">
        <v>3.2817091531</v>
      </c>
      <c r="J38" t="n">
        <v>19415876</v>
      </c>
      <c r="K38" t="n">
        <v>66.29480293579725</v>
      </c>
      <c r="L38" t="n">
        <v>98.79499969950101</v>
      </c>
      <c r="M38" t="n">
        <v>18.90739</v>
      </c>
      <c r="N38" t="n">
        <v>7.292272727272728</v>
      </c>
      <c r="O38" t="n">
        <v>-960314.200000003</v>
      </c>
      <c r="P38" t="n">
        <v>50456.171875</v>
      </c>
      <c r="Q38" t="n">
        <v>101.4625</v>
      </c>
    </row>
    <row r="39">
      <c r="A39" t="inlineStr">
        <is>
          <t>2018-02</t>
        </is>
      </c>
      <c r="B39" t="n">
        <v>99.6457225971</v>
      </c>
      <c r="C39" t="n">
        <v>100.2705558756</v>
      </c>
      <c r="D39" t="n">
        <v>101.5566734335</v>
      </c>
      <c r="E39" t="n">
        <v>99.76446334160001</v>
      </c>
      <c r="F39" t="n">
        <v>144.9920861303677</v>
      </c>
      <c r="G39" t="n">
        <v>101.8228643249688</v>
      </c>
      <c r="H39" t="n">
        <v>96.46111288631</v>
      </c>
      <c r="I39" t="n">
        <v>3.2928629915</v>
      </c>
      <c r="J39" t="n">
        <v>19500626</v>
      </c>
      <c r="K39" t="n">
        <v>54.96923229933992</v>
      </c>
      <c r="L39" t="n">
        <v>99.17137448164</v>
      </c>
      <c r="M39" t="n">
        <v>18.64494</v>
      </c>
      <c r="N39" t="n">
        <v>7.49</v>
      </c>
      <c r="O39" t="n">
        <v>-425985.5</v>
      </c>
      <c r="P39" t="n">
        <v>47437.9296875</v>
      </c>
      <c r="Q39" t="n">
        <v>101.7085</v>
      </c>
    </row>
    <row r="40">
      <c r="A40" t="inlineStr">
        <is>
          <t>2018-03</t>
        </is>
      </c>
      <c r="B40" t="n">
        <v>100.3315240405</v>
      </c>
      <c r="C40" t="n">
        <v>100.3259043561</v>
      </c>
      <c r="D40" t="n">
        <v>102.0175477957</v>
      </c>
      <c r="E40" t="n">
        <v>100.1894400785</v>
      </c>
      <c r="F40" t="n">
        <v>146.1207527305952</v>
      </c>
      <c r="G40" t="n">
        <v>102.3869124104121</v>
      </c>
      <c r="H40" t="n">
        <v>97.69038065059851</v>
      </c>
      <c r="I40" t="n">
        <v>3.2654106945</v>
      </c>
      <c r="J40" t="n">
        <v>19588348</v>
      </c>
      <c r="K40" t="n">
        <v>45.4321220116755</v>
      </c>
      <c r="L40" t="n">
        <v>99.49215698058801</v>
      </c>
      <c r="M40" t="n">
        <v>18.63084</v>
      </c>
      <c r="N40" t="n">
        <v>7.566315789473684</v>
      </c>
      <c r="O40" t="n">
        <v>-455620.299999997</v>
      </c>
      <c r="P40" t="n">
        <v>46124.8515625</v>
      </c>
      <c r="Q40" t="n">
        <v>102.2067</v>
      </c>
    </row>
    <row r="41">
      <c r="A41" t="inlineStr">
        <is>
          <t>2018-04</t>
        </is>
      </c>
      <c r="B41" t="n">
        <v>99.4313624565</v>
      </c>
      <c r="C41" t="n">
        <v>98.9801818207</v>
      </c>
      <c r="D41" t="n">
        <v>100.1514639682</v>
      </c>
      <c r="E41" t="n">
        <v>99.7969910133</v>
      </c>
      <c r="F41" t="n">
        <v>144.1689336686015</v>
      </c>
      <c r="G41" t="n">
        <v>100.6087371712546</v>
      </c>
      <c r="H41" t="n">
        <v>96.57359316007488</v>
      </c>
      <c r="I41" t="n">
        <v>3.3829011672</v>
      </c>
      <c r="J41" t="n">
        <v>19662769</v>
      </c>
      <c r="K41" t="n">
        <v>56.69057946999486</v>
      </c>
      <c r="L41" t="n">
        <v>99.154847046097</v>
      </c>
      <c r="M41" t="n">
        <v>18.38719</v>
      </c>
      <c r="N41" t="n">
        <v>7.541428571428572</v>
      </c>
      <c r="O41" t="n">
        <v>-461690</v>
      </c>
      <c r="P41" t="n">
        <v>48358.16015625</v>
      </c>
      <c r="Q41" t="n">
        <v>103.3329</v>
      </c>
    </row>
    <row r="42">
      <c r="A42" t="inlineStr">
        <is>
          <t>2018-05</t>
        </is>
      </c>
      <c r="B42" t="n">
        <v>100.1819870335</v>
      </c>
      <c r="C42" t="n">
        <v>100.6705364535</v>
      </c>
      <c r="D42" t="n">
        <v>102.2551042255</v>
      </c>
      <c r="E42" t="n">
        <v>100.0275278436</v>
      </c>
      <c r="F42" t="n">
        <v>146.7444576462301</v>
      </c>
      <c r="G42" t="n">
        <v>99.20609942435864</v>
      </c>
      <c r="H42" t="n">
        <v>98.50091131007734</v>
      </c>
      <c r="I42" t="n">
        <v>3.2240546084</v>
      </c>
      <c r="J42" t="n">
        <v>19719267</v>
      </c>
      <c r="K42" t="n">
        <v>84.17989782805044</v>
      </c>
      <c r="L42" t="n">
        <v>98.994080173087</v>
      </c>
      <c r="M42" t="n">
        <v>19.591</v>
      </c>
      <c r="N42" t="n">
        <v>7.576363636363637</v>
      </c>
      <c r="O42" t="n">
        <v>-2077391.600000001</v>
      </c>
      <c r="P42" t="n">
        <v>44662.55078125</v>
      </c>
      <c r="Q42" t="n">
        <v>102.4024</v>
      </c>
    </row>
    <row r="43">
      <c r="A43" t="inlineStr">
        <is>
          <t>2018-06</t>
        </is>
      </c>
      <c r="B43" t="n">
        <v>99.9358612833</v>
      </c>
      <c r="C43" t="n">
        <v>100.4915436127</v>
      </c>
      <c r="D43" t="n">
        <v>101.8843598094</v>
      </c>
      <c r="E43" t="n">
        <v>99.6190362724</v>
      </c>
      <c r="F43" t="n">
        <v>148.9253409030227</v>
      </c>
      <c r="G43" t="n">
        <v>100.760509347091</v>
      </c>
      <c r="H43" t="n">
        <v>99.56204904354151</v>
      </c>
      <c r="I43" t="n">
        <v>3.3543598237</v>
      </c>
      <c r="J43" t="n">
        <v>19736184</v>
      </c>
      <c r="K43" t="n">
        <v>75.62917460616492</v>
      </c>
      <c r="L43" t="n">
        <v>99.376464931787</v>
      </c>
      <c r="M43" t="n">
        <v>20.3032</v>
      </c>
      <c r="N43" t="n">
        <v>7.641904761904762</v>
      </c>
      <c r="O43" t="n">
        <v>-1942469.099999994</v>
      </c>
      <c r="P43" t="n">
        <v>47663.19921875</v>
      </c>
      <c r="Q43" t="n">
        <v>103.198</v>
      </c>
    </row>
    <row r="44">
      <c r="A44" t="inlineStr">
        <is>
          <t>2018-07</t>
        </is>
      </c>
      <c r="B44" t="n">
        <v>100.2952775154</v>
      </c>
      <c r="C44" t="n">
        <v>100.8106900275</v>
      </c>
      <c r="D44" t="n">
        <v>102.555314774</v>
      </c>
      <c r="E44" t="n">
        <v>100.1749540678</v>
      </c>
      <c r="F44" t="n">
        <v>149.228595877924</v>
      </c>
      <c r="G44" t="n">
        <v>100.8137951851359</v>
      </c>
      <c r="H44" t="n">
        <v>100.7933793012227</v>
      </c>
      <c r="I44" t="n">
        <v>3.2934854702</v>
      </c>
      <c r="J44" t="n">
        <v>19822196</v>
      </c>
      <c r="K44" t="n">
        <v>44.1575806503158</v>
      </c>
      <c r="L44" t="n">
        <v>99.909099104514</v>
      </c>
      <c r="M44" t="n">
        <v>19.00952</v>
      </c>
      <c r="N44" t="n">
        <v>7.805909090909091</v>
      </c>
      <c r="O44" t="n">
        <v>-1866563.899999999</v>
      </c>
      <c r="P44" t="n">
        <v>49698.01171875</v>
      </c>
      <c r="Q44" t="n">
        <v>103.3646</v>
      </c>
    </row>
    <row r="45">
      <c r="A45" t="inlineStr">
        <is>
          <t>2018-08</t>
        </is>
      </c>
      <c r="B45" t="n">
        <v>100.5818205185</v>
      </c>
      <c r="C45" t="n">
        <v>99.9776136131</v>
      </c>
      <c r="D45" t="n">
        <v>98.72889863029999</v>
      </c>
      <c r="E45" t="n">
        <v>100.8852480969</v>
      </c>
      <c r="F45" t="n">
        <v>148.8907811204824</v>
      </c>
      <c r="G45" t="n">
        <v>99.96309899821183</v>
      </c>
      <c r="H45" t="n">
        <v>101.2410225443871</v>
      </c>
      <c r="I45" t="n">
        <v>3.2688943268</v>
      </c>
      <c r="J45" t="n">
        <v>19877448</v>
      </c>
      <c r="K45" t="n">
        <v>73.36435419419047</v>
      </c>
      <c r="L45" t="n">
        <v>100.492</v>
      </c>
      <c r="M45" t="n">
        <v>18.85751</v>
      </c>
      <c r="N45" t="n">
        <v>7.801739130434783</v>
      </c>
      <c r="O45" t="n">
        <v>-1264367.799999997</v>
      </c>
      <c r="P45" t="n">
        <v>49547.6796875</v>
      </c>
      <c r="Q45" t="n">
        <v>104.0327</v>
      </c>
    </row>
    <row r="46">
      <c r="A46" t="inlineStr">
        <is>
          <t>2018-09</t>
        </is>
      </c>
      <c r="B46" t="n">
        <v>100.6798616636</v>
      </c>
      <c r="C46" t="n">
        <v>101.0765818853</v>
      </c>
      <c r="D46" t="n">
        <v>101.6952357409</v>
      </c>
      <c r="E46" t="n">
        <v>100.7554780112</v>
      </c>
      <c r="F46" t="n">
        <v>147.1869833512868</v>
      </c>
      <c r="G46" t="n">
        <v>102.338027385153</v>
      </c>
      <c r="H46" t="n">
        <v>102.720194767768</v>
      </c>
      <c r="I46" t="n">
        <v>3.3306355647</v>
      </c>
      <c r="J46" t="n">
        <v>19935091</v>
      </c>
      <c r="K46" t="n">
        <v>48.74727601038611</v>
      </c>
      <c r="L46" t="n">
        <v>100.917</v>
      </c>
      <c r="M46" t="n">
        <v>19.01543</v>
      </c>
      <c r="N46" t="n">
        <v>7.8055</v>
      </c>
      <c r="O46" t="n">
        <v>-87149.40000000596</v>
      </c>
      <c r="P46" t="n">
        <v>49504.16015625</v>
      </c>
      <c r="Q46" t="n">
        <v>104.1004</v>
      </c>
    </row>
    <row r="47">
      <c r="A47" t="inlineStr">
        <is>
          <t>2018-10</t>
        </is>
      </c>
      <c r="B47" t="n">
        <v>100.5638047325</v>
      </c>
      <c r="C47" t="n">
        <v>100.169242508</v>
      </c>
      <c r="D47" t="n">
        <v>102.0134588874</v>
      </c>
      <c r="E47" t="n">
        <v>99.80621367800001</v>
      </c>
      <c r="F47" t="n">
        <v>148.8477960324217</v>
      </c>
      <c r="G47" t="n">
        <v>98.88643051252215</v>
      </c>
      <c r="H47" t="n">
        <v>103.2499638976231</v>
      </c>
      <c r="I47" t="n">
        <v>3.2016714757</v>
      </c>
      <c r="J47" t="n">
        <v>19956993</v>
      </c>
      <c r="K47" t="n">
        <v>86.68230713200627</v>
      </c>
      <c r="L47" t="n">
        <v>101.44</v>
      </c>
      <c r="M47" t="n">
        <v>19.18587</v>
      </c>
      <c r="N47" t="n">
        <v>7.814347826086956</v>
      </c>
      <c r="O47" t="n">
        <v>-1597531.5</v>
      </c>
      <c r="P47" t="n">
        <v>43942.55078125</v>
      </c>
      <c r="Q47" t="n">
        <v>103.9856</v>
      </c>
    </row>
    <row r="48">
      <c r="A48" t="inlineStr">
        <is>
          <t>2018-11</t>
        </is>
      </c>
      <c r="B48" t="n">
        <v>100.0467238636</v>
      </c>
      <c r="C48" t="n">
        <v>99.1813754499</v>
      </c>
      <c r="D48" t="n">
        <v>95.93531114539999</v>
      </c>
      <c r="E48" t="n">
        <v>100.1694888076</v>
      </c>
      <c r="F48" t="n">
        <v>149.0470954921721</v>
      </c>
      <c r="G48" t="n">
        <v>98.77975761349238</v>
      </c>
      <c r="H48" t="n">
        <v>103.9033523383232</v>
      </c>
      <c r="I48" t="n">
        <v>3.3420765227</v>
      </c>
      <c r="J48" t="n">
        <v>19970747</v>
      </c>
      <c r="K48" t="n">
        <v>128.8916052163786</v>
      </c>
      <c r="L48" t="n">
        <v>102.303</v>
      </c>
      <c r="M48" t="n">
        <v>20.26117</v>
      </c>
      <c r="N48" t="n">
        <v>7.927</v>
      </c>
      <c r="O48" t="n">
        <v>-2416701.5</v>
      </c>
      <c r="P48" t="n">
        <v>41732.78125</v>
      </c>
      <c r="Q48" t="n">
        <v>104.0681</v>
      </c>
    </row>
    <row r="49">
      <c r="A49" t="inlineStr">
        <is>
          <t>2018-12</t>
        </is>
      </c>
      <c r="B49" t="n">
        <v>99.6473514847</v>
      </c>
      <c r="C49" t="n">
        <v>98.9232478926</v>
      </c>
      <c r="D49" t="n">
        <v>94.7566617949</v>
      </c>
      <c r="E49" t="n">
        <v>99.6381644018</v>
      </c>
      <c r="F49" t="n">
        <v>148.3114120113208</v>
      </c>
      <c r="G49" t="n">
        <v>97.66485549775024</v>
      </c>
      <c r="H49" t="n">
        <v>103.610357191409</v>
      </c>
      <c r="I49" t="n">
        <v>3.6599491843</v>
      </c>
      <c r="J49" t="n">
        <v>19984551</v>
      </c>
      <c r="K49" t="n">
        <v>61.20571478404347</v>
      </c>
      <c r="L49" t="n">
        <v>103.02</v>
      </c>
      <c r="M49" t="n">
        <v>20.11118</v>
      </c>
      <c r="N49" t="n">
        <v>8.18578947368421</v>
      </c>
      <c r="O49" t="n">
        <v>44589.60000000149</v>
      </c>
      <c r="P49" t="n">
        <v>41640.26953125</v>
      </c>
      <c r="Q49" t="n">
        <v>104.0936</v>
      </c>
    </row>
    <row r="50">
      <c r="A50" t="inlineStr">
        <is>
          <t>2019-01</t>
        </is>
      </c>
      <c r="B50" t="n">
        <v>100.1486006554</v>
      </c>
      <c r="C50" t="n">
        <v>99.07956192330001</v>
      </c>
      <c r="D50" t="n">
        <v>99.1855939655</v>
      </c>
      <c r="E50" t="n">
        <v>100.9901403267</v>
      </c>
      <c r="F50" t="n">
        <v>148.8552001084251</v>
      </c>
      <c r="G50" t="n">
        <v>97.09375618981612</v>
      </c>
      <c r="H50" t="n">
        <v>105.6666588328233</v>
      </c>
      <c r="I50" t="n">
        <v>3.4536431671</v>
      </c>
      <c r="J50" t="n">
        <v>20025595</v>
      </c>
      <c r="K50" t="n">
        <v>83.45544648970707</v>
      </c>
      <c r="L50" t="n">
        <v>103.108</v>
      </c>
      <c r="M50" t="n">
        <v>19.1651</v>
      </c>
      <c r="N50" t="n">
        <v>8.257727272727273</v>
      </c>
      <c r="O50" t="n">
        <v>-1104175.600000001</v>
      </c>
      <c r="P50" t="n">
        <v>43987.94140625</v>
      </c>
      <c r="Q50" t="n">
        <v>103.4021</v>
      </c>
    </row>
    <row r="51">
      <c r="A51" t="inlineStr">
        <is>
          <t>2019-02</t>
        </is>
      </c>
      <c r="B51" t="n">
        <v>100.3970986648</v>
      </c>
      <c r="C51" t="n">
        <v>99.5605515913</v>
      </c>
      <c r="D51" t="n">
        <v>98.43064194039999</v>
      </c>
      <c r="E51" t="n">
        <v>100.957866943</v>
      </c>
      <c r="F51" t="n">
        <v>150.1370528835745</v>
      </c>
      <c r="G51" t="n">
        <v>95.6782007941768</v>
      </c>
      <c r="H51" t="n">
        <v>107.0667376699159</v>
      </c>
      <c r="I51" t="n">
        <v>3.3921562604</v>
      </c>
      <c r="J51" t="n">
        <v>20066426</v>
      </c>
      <c r="K51" t="n">
        <v>106.4229185129249</v>
      </c>
      <c r="L51" t="n">
        <v>103.079</v>
      </c>
      <c r="M51" t="n">
        <v>19.20488</v>
      </c>
      <c r="N51" t="n">
        <v>8.259473684210526</v>
      </c>
      <c r="O51" t="n">
        <v>262332.6000000015</v>
      </c>
      <c r="P51" t="n">
        <v>42823.80859375</v>
      </c>
      <c r="Q51" t="n">
        <v>102.8371</v>
      </c>
    </row>
    <row r="52">
      <c r="A52" t="inlineStr">
        <is>
          <t>2019-03</t>
        </is>
      </c>
      <c r="B52" t="n">
        <v>99.2262060644</v>
      </c>
      <c r="C52" t="n">
        <v>98.33706241589999</v>
      </c>
      <c r="D52" t="n">
        <v>96.72126227539999</v>
      </c>
      <c r="E52" t="n">
        <v>99.3082317006</v>
      </c>
      <c r="F52" t="n">
        <v>149.1691104612399</v>
      </c>
      <c r="G52" t="n">
        <v>94.00418176816488</v>
      </c>
      <c r="H52" t="n">
        <v>107.2561106805956</v>
      </c>
      <c r="I52" t="n">
        <v>3.6142836722</v>
      </c>
      <c r="J52" t="n">
        <v>20092749</v>
      </c>
      <c r="K52" t="n">
        <v>82.30194198042888</v>
      </c>
      <c r="L52" t="n">
        <v>103.476</v>
      </c>
      <c r="M52" t="n">
        <v>19.24774</v>
      </c>
      <c r="N52" t="n">
        <v>8.259499999999999</v>
      </c>
      <c r="O52" t="n">
        <v>121513.1000000015</v>
      </c>
      <c r="P52" t="n">
        <v>43281.28125</v>
      </c>
      <c r="Q52" t="n">
        <v>102.8757</v>
      </c>
    </row>
    <row r="53">
      <c r="A53" t="inlineStr">
        <is>
          <t>2019-04</t>
        </is>
      </c>
      <c r="B53" t="n">
        <v>99.66222573490001</v>
      </c>
      <c r="C53" t="n">
        <v>99.3389293454</v>
      </c>
      <c r="D53" t="n">
        <v>98.0086909857</v>
      </c>
      <c r="E53" t="n">
        <v>100.1702779917</v>
      </c>
      <c r="F53" t="n">
        <v>145.596252761206</v>
      </c>
      <c r="G53" t="n">
        <v>93.84210254117016</v>
      </c>
      <c r="H53" t="n">
        <v>109.2936378821042</v>
      </c>
      <c r="I53" t="n">
        <v>3.4853682563</v>
      </c>
      <c r="J53" t="n">
        <v>20148895</v>
      </c>
      <c r="K53" t="n">
        <v>50.41185332462869</v>
      </c>
      <c r="L53" t="n">
        <v>103.531</v>
      </c>
      <c r="M53" t="n">
        <v>18.98635</v>
      </c>
      <c r="N53" t="n">
        <v>8.2735</v>
      </c>
      <c r="O53" t="n">
        <v>455032.400000006</v>
      </c>
      <c r="P53" t="n">
        <v>44597.3203125</v>
      </c>
      <c r="Q53" t="n">
        <v>102.274</v>
      </c>
    </row>
    <row r="54">
      <c r="A54" t="inlineStr">
        <is>
          <t>2019-05</t>
        </is>
      </c>
      <c r="B54" t="n">
        <v>99.2457114498</v>
      </c>
      <c r="C54" t="n">
        <v>98.42436076520001</v>
      </c>
      <c r="D54" t="n">
        <v>95.0400591617</v>
      </c>
      <c r="E54" t="n">
        <v>100.38911406</v>
      </c>
      <c r="F54" t="n">
        <v>153.328195836012</v>
      </c>
      <c r="G54" t="n">
        <v>87.43814978154153</v>
      </c>
      <c r="H54" t="n">
        <v>108.9615114247899</v>
      </c>
      <c r="I54" t="n">
        <v>3.539005974</v>
      </c>
      <c r="J54" t="n">
        <v>20196103</v>
      </c>
      <c r="K54" t="n">
        <v>70.57819582073257</v>
      </c>
      <c r="L54" t="n">
        <v>103.233</v>
      </c>
      <c r="M54" t="n">
        <v>19.11965</v>
      </c>
      <c r="N54" t="n">
        <v>8.286363636363635</v>
      </c>
      <c r="O54" t="n">
        <v>545614.700000003</v>
      </c>
      <c r="P54" t="n">
        <v>42749.16015625</v>
      </c>
      <c r="Q54" t="n">
        <v>102.392</v>
      </c>
    </row>
    <row r="55">
      <c r="A55" t="inlineStr">
        <is>
          <t>2019-06</t>
        </is>
      </c>
      <c r="B55" t="n">
        <v>99.74628278839999</v>
      </c>
      <c r="C55" t="n">
        <v>99.4000479492</v>
      </c>
      <c r="D55" t="n">
        <v>95.4981600971</v>
      </c>
      <c r="E55" t="n">
        <v>101.292689213</v>
      </c>
      <c r="F55" t="n">
        <v>154.3188090193421</v>
      </c>
      <c r="G55" t="n">
        <v>91.58602542172387</v>
      </c>
      <c r="H55" t="n">
        <v>111.422694439235</v>
      </c>
      <c r="I55" t="n">
        <v>3.5341951617</v>
      </c>
      <c r="J55" t="n">
        <v>20217231</v>
      </c>
      <c r="K55" t="n">
        <v>97.63958511996699</v>
      </c>
      <c r="L55" t="n">
        <v>103.299</v>
      </c>
      <c r="M55" t="n">
        <v>19.27447</v>
      </c>
      <c r="N55" t="n">
        <v>8.2685</v>
      </c>
      <c r="O55" t="n">
        <v>1155968.399999999</v>
      </c>
      <c r="P55" t="n">
        <v>43161.171875</v>
      </c>
      <c r="Q55" t="n">
        <v>102.4375</v>
      </c>
    </row>
    <row r="56">
      <c r="A56" t="inlineStr">
        <is>
          <t>2019-07</t>
        </is>
      </c>
      <c r="B56" t="n">
        <v>99.53732385159999</v>
      </c>
      <c r="C56" t="n">
        <v>98.8060108235</v>
      </c>
      <c r="D56" t="n">
        <v>94.36812456129999</v>
      </c>
      <c r="E56" t="n">
        <v>101.1549622713</v>
      </c>
      <c r="F56" t="n">
        <v>155.098645692348</v>
      </c>
      <c r="G56" t="n">
        <v>91.06192399345318</v>
      </c>
      <c r="H56" t="n">
        <v>110.2256181582909</v>
      </c>
      <c r="I56" t="n">
        <v>3.5250550354</v>
      </c>
      <c r="J56" t="n">
        <v>20248677</v>
      </c>
      <c r="K56" t="n">
        <v>73.01489448284993</v>
      </c>
      <c r="L56" t="n">
        <v>103.687</v>
      </c>
      <c r="M56" t="n">
        <v>19.0534</v>
      </c>
      <c r="N56" t="n">
        <v>8.284347826086956</v>
      </c>
      <c r="O56" t="n">
        <v>42188.10000000149</v>
      </c>
      <c r="P56" t="n">
        <v>40863.08984375</v>
      </c>
      <c r="Q56" t="n">
        <v>101.9408</v>
      </c>
    </row>
    <row r="57">
      <c r="A57" t="inlineStr">
        <is>
          <t>2019-08</t>
        </is>
      </c>
      <c r="B57" t="n">
        <v>99.6428023874</v>
      </c>
      <c r="C57" t="n">
        <v>98.635231793</v>
      </c>
      <c r="D57" t="n">
        <v>94.94391142320001</v>
      </c>
      <c r="E57" t="n">
        <v>100.8088938439</v>
      </c>
      <c r="F57" t="n">
        <v>156.6450354805047</v>
      </c>
      <c r="G57" t="n">
        <v>90.8701785813099</v>
      </c>
      <c r="H57" t="n">
        <v>112.4730268684529</v>
      </c>
      <c r="I57" t="n">
        <v>3.4833137154</v>
      </c>
      <c r="J57" t="n">
        <v>20225832</v>
      </c>
      <c r="K57" t="n">
        <v>117.0652949493653</v>
      </c>
      <c r="L57" t="n">
        <v>103.67</v>
      </c>
      <c r="M57" t="n">
        <v>19.68504</v>
      </c>
      <c r="N57" t="n">
        <v>8.157727272727273</v>
      </c>
      <c r="O57" t="n">
        <v>1574536.899999999</v>
      </c>
      <c r="P57" t="n">
        <v>42622.5</v>
      </c>
      <c r="Q57" t="n">
        <v>102.639</v>
      </c>
    </row>
    <row r="58">
      <c r="A58" t="inlineStr">
        <is>
          <t>2019-09</t>
        </is>
      </c>
      <c r="B58" t="n">
        <v>100.0752867205</v>
      </c>
      <c r="C58" t="n">
        <v>98.55385442070001</v>
      </c>
      <c r="D58" t="n">
        <v>93.8050396177</v>
      </c>
      <c r="E58" t="n">
        <v>101.5779211267</v>
      </c>
      <c r="F58" t="n">
        <v>153.9822642887366</v>
      </c>
      <c r="G58" t="n">
        <v>92.15368579613364</v>
      </c>
      <c r="H58" t="n">
        <v>112.7739681033734</v>
      </c>
      <c r="I58" t="n">
        <v>3.5182642748</v>
      </c>
      <c r="J58" t="n">
        <v>20276321</v>
      </c>
      <c r="K58" t="n">
        <v>112.9294835911289</v>
      </c>
      <c r="L58" t="n">
        <v>103.942</v>
      </c>
      <c r="M58" t="n">
        <v>19.58651</v>
      </c>
      <c r="N58" t="n">
        <v>8.070499999999999</v>
      </c>
      <c r="O58" t="n">
        <v>399846.900000006</v>
      </c>
      <c r="P58" t="n">
        <v>43011.26953125</v>
      </c>
      <c r="Q58" t="n">
        <v>102.2917</v>
      </c>
    </row>
    <row r="59">
      <c r="A59" t="inlineStr">
        <is>
          <t>2019-10</t>
        </is>
      </c>
      <c r="B59" t="n">
        <v>99.0597010645</v>
      </c>
      <c r="C59" t="n">
        <v>96.5156172504</v>
      </c>
      <c r="D59" t="n">
        <v>94.0729695278</v>
      </c>
      <c r="E59" t="n">
        <v>101.502266817</v>
      </c>
      <c r="F59" t="n">
        <v>154.0382399683112</v>
      </c>
      <c r="G59" t="n">
        <v>89.35247187751526</v>
      </c>
      <c r="H59" t="n">
        <v>112.6297919669441</v>
      </c>
      <c r="I59" t="n">
        <v>3.6148925191</v>
      </c>
      <c r="J59" t="n">
        <v>20295737</v>
      </c>
      <c r="K59" t="n">
        <v>97.53976897637952</v>
      </c>
      <c r="L59" t="n">
        <v>104.503</v>
      </c>
      <c r="M59" t="n">
        <v>19.32418</v>
      </c>
      <c r="N59" t="n">
        <v>7.778260869565218</v>
      </c>
      <c r="O59" t="n">
        <v>95768.10000000148</v>
      </c>
      <c r="P59" t="n">
        <v>43337.28125</v>
      </c>
      <c r="Q59" t="n">
        <v>101.4281</v>
      </c>
    </row>
    <row r="60">
      <c r="A60" t="inlineStr">
        <is>
          <t>2019-11</t>
        </is>
      </c>
      <c r="B60" t="n">
        <v>99.26292860629999</v>
      </c>
      <c r="C60" t="n">
        <v>96.9231444671</v>
      </c>
      <c r="D60" t="n">
        <v>94.43054313659999</v>
      </c>
      <c r="E60" t="n">
        <v>101.6811085165</v>
      </c>
      <c r="F60" t="n">
        <v>155.0406328346489</v>
      </c>
      <c r="G60" t="n">
        <v>91.10726032368576</v>
      </c>
      <c r="H60" t="n">
        <v>114.0812541488752</v>
      </c>
      <c r="I60" t="n">
        <v>3.5316871036</v>
      </c>
      <c r="J60" t="n">
        <v>20312651</v>
      </c>
      <c r="K60" t="n">
        <v>106.2049605365096</v>
      </c>
      <c r="L60" t="n">
        <v>105.346</v>
      </c>
      <c r="M60" t="n">
        <v>19.33247</v>
      </c>
      <c r="N60" t="n">
        <v>7.76</v>
      </c>
      <c r="O60" t="n">
        <v>827836.599999994</v>
      </c>
      <c r="P60" t="n">
        <v>42820.1796875</v>
      </c>
      <c r="Q60" t="n">
        <v>101.9372</v>
      </c>
    </row>
    <row r="61">
      <c r="A61" t="inlineStr">
        <is>
          <t>2019-12</t>
        </is>
      </c>
      <c r="B61" t="n">
        <v>99.0882278115</v>
      </c>
      <c r="C61" t="n">
        <v>96.16023779</v>
      </c>
      <c r="D61" t="n">
        <v>92.7468044463</v>
      </c>
      <c r="E61" t="n">
        <v>101.1319100086</v>
      </c>
      <c r="F61" t="n">
        <v>159.0541638167969</v>
      </c>
      <c r="G61" t="n">
        <v>90.89797640713969</v>
      </c>
      <c r="H61" t="n">
        <v>115.9683427440288</v>
      </c>
      <c r="I61" t="n">
        <v>3.1965932331</v>
      </c>
      <c r="J61" t="n">
        <v>20330718</v>
      </c>
      <c r="K61" t="n">
        <v>130.4806391264957</v>
      </c>
      <c r="L61" t="n">
        <v>105.934</v>
      </c>
      <c r="M61" t="n">
        <v>19.10708</v>
      </c>
      <c r="N61" t="n">
        <v>7.4625</v>
      </c>
      <c r="O61" t="n">
        <v>949289.3000000044</v>
      </c>
      <c r="P61" t="n">
        <v>43541.01953125</v>
      </c>
      <c r="Q61" t="n">
        <v>101.7003</v>
      </c>
    </row>
    <row r="62">
      <c r="A62" t="inlineStr">
        <is>
          <t>2020-01</t>
        </is>
      </c>
      <c r="B62" t="n">
        <v>99.92087700730001</v>
      </c>
      <c r="C62" t="n">
        <v>97.3179710875</v>
      </c>
      <c r="D62" t="n">
        <v>91.9200225901</v>
      </c>
      <c r="E62" t="n">
        <v>101.5368450267</v>
      </c>
      <c r="F62" t="n">
        <v>154.7973970391609</v>
      </c>
      <c r="G62" t="n">
        <v>91.33303738516172</v>
      </c>
      <c r="H62" t="n">
        <v>115.7599131828558</v>
      </c>
      <c r="I62" t="n">
        <v>3.6460812716</v>
      </c>
      <c r="J62" t="n">
        <v>20326208</v>
      </c>
      <c r="K62" t="n">
        <v>110.9827900039853</v>
      </c>
      <c r="L62" t="n">
        <v>106.447</v>
      </c>
      <c r="M62" t="n">
        <v>18.80402</v>
      </c>
      <c r="N62" t="n">
        <v>7.261363636363637</v>
      </c>
      <c r="O62" t="n">
        <v>1442889.399999999</v>
      </c>
      <c r="P62" t="n">
        <v>44108.30859375</v>
      </c>
      <c r="Q62" t="n">
        <v>101.0338</v>
      </c>
    </row>
    <row r="63">
      <c r="A63" t="inlineStr">
        <is>
          <t>2020-02</t>
        </is>
      </c>
      <c r="B63" t="n">
        <v>98.9136143493</v>
      </c>
      <c r="C63" t="n">
        <v>96.7590259612</v>
      </c>
      <c r="D63" t="n">
        <v>89.49619398679999</v>
      </c>
      <c r="E63" t="n">
        <v>101.4541539938</v>
      </c>
      <c r="F63" t="n">
        <v>152.6751374572318</v>
      </c>
      <c r="G63" t="n">
        <v>91.0913237468816</v>
      </c>
      <c r="H63" t="n">
        <v>115.3760843403477</v>
      </c>
      <c r="I63" t="n">
        <v>3.5723355779</v>
      </c>
      <c r="J63" t="n">
        <v>20356561</v>
      </c>
      <c r="K63" t="n">
        <v>89.10796883608548</v>
      </c>
      <c r="L63" t="n">
        <v>106.889</v>
      </c>
      <c r="M63" t="n">
        <v>18.84432</v>
      </c>
      <c r="N63" t="n">
        <v>7.122105263157894</v>
      </c>
      <c r="O63" t="n">
        <v>1927984.5</v>
      </c>
      <c r="P63" t="n">
        <v>41324.30859375</v>
      </c>
      <c r="Q63" t="n">
        <v>101.3735</v>
      </c>
    </row>
    <row r="64">
      <c r="A64" t="inlineStr">
        <is>
          <t>2020-03</t>
        </is>
      </c>
      <c r="B64" t="n">
        <v>95.6661572709</v>
      </c>
      <c r="C64" t="n">
        <v>93.5627522286</v>
      </c>
      <c r="D64" t="n">
        <v>86.84471718029999</v>
      </c>
      <c r="E64" t="n">
        <v>95.62049917509999</v>
      </c>
      <c r="F64" t="n">
        <v>152.1909067170839</v>
      </c>
      <c r="G64" t="n">
        <v>70.90772854904876</v>
      </c>
      <c r="H64" t="n">
        <v>107.8935501206727</v>
      </c>
      <c r="I64" t="n">
        <v>3.321478807</v>
      </c>
      <c r="J64" t="n">
        <v>20199304</v>
      </c>
      <c r="K64" t="n">
        <v>143.0392389511395</v>
      </c>
      <c r="L64" t="n">
        <v>106.838</v>
      </c>
      <c r="M64" t="n">
        <v>22.3784</v>
      </c>
      <c r="N64" t="n">
        <v>6.89</v>
      </c>
      <c r="O64" t="n">
        <v>1859242</v>
      </c>
      <c r="P64" t="n">
        <v>34554.53125</v>
      </c>
      <c r="Q64" t="n">
        <v>97.40779999999999</v>
      </c>
    </row>
    <row r="65">
      <c r="A65" t="inlineStr">
        <is>
          <t>2020-04</t>
        </is>
      </c>
      <c r="B65" t="n">
        <v>77.612495424</v>
      </c>
      <c r="C65" t="n">
        <v>69.86286983780001</v>
      </c>
      <c r="D65" t="n">
        <v>60.7569708517</v>
      </c>
      <c r="E65" t="n">
        <v>78.4298273007</v>
      </c>
      <c r="F65" t="n">
        <v>112.6585093335437</v>
      </c>
      <c r="G65" t="n">
        <v>32.53105214648468</v>
      </c>
      <c r="H65" t="n">
        <v>85.78853042708228</v>
      </c>
      <c r="I65" t="n">
        <v>4.6741826802</v>
      </c>
      <c r="J65" t="n">
        <v>19675140</v>
      </c>
      <c r="K65" t="n">
        <v>155.528490922257</v>
      </c>
      <c r="L65" t="n">
        <v>105.755</v>
      </c>
      <c r="M65" t="n">
        <v>24.26584</v>
      </c>
      <c r="N65" t="n">
        <v>6.3535</v>
      </c>
      <c r="O65" t="n">
        <v>-4193425.099999998</v>
      </c>
      <c r="P65" t="n">
        <v>36470.109375</v>
      </c>
      <c r="Q65" t="n">
        <v>84.56189999999999</v>
      </c>
    </row>
    <row r="66">
      <c r="A66" t="inlineStr">
        <is>
          <t>2020-05</t>
        </is>
      </c>
      <c r="B66" t="n">
        <v>76.1644251365</v>
      </c>
      <c r="C66" t="n">
        <v>69.77102120070001</v>
      </c>
      <c r="D66" t="n">
        <v>59.8672790183</v>
      </c>
      <c r="E66" t="n">
        <v>77.157844161</v>
      </c>
      <c r="F66" t="n">
        <v>120.4239089961113</v>
      </c>
      <c r="G66" t="n">
        <v>36.26710422636137</v>
      </c>
      <c r="H66" t="n">
        <v>89.09002499577878</v>
      </c>
      <c r="I66" t="n">
        <v>4.2801218098</v>
      </c>
      <c r="J66" t="n">
        <v>19400055</v>
      </c>
      <c r="K66" t="n">
        <v>113.7283404686713</v>
      </c>
      <c r="L66" t="n">
        <v>106.162</v>
      </c>
      <c r="M66" t="n">
        <v>23.42302</v>
      </c>
      <c r="N66" t="n">
        <v>5.802</v>
      </c>
      <c r="O66" t="n">
        <v>-3629572.599999998</v>
      </c>
      <c r="P66" t="n">
        <v>36122.73046875</v>
      </c>
      <c r="Q66" t="n">
        <v>85.96040000000001</v>
      </c>
    </row>
    <row r="67">
      <c r="A67" t="inlineStr">
        <is>
          <t>2020-06</t>
        </is>
      </c>
      <c r="B67" t="n">
        <v>85.1938817545</v>
      </c>
      <c r="C67" t="n">
        <v>84.8887208244</v>
      </c>
      <c r="D67" t="n">
        <v>72.9874859918</v>
      </c>
      <c r="E67" t="n">
        <v>83.5069201651</v>
      </c>
      <c r="F67" t="n">
        <v>132.1704758369984</v>
      </c>
      <c r="G67" t="n">
        <v>53.75903732482507</v>
      </c>
      <c r="H67" t="n">
        <v>98.49852660189561</v>
      </c>
      <c r="I67" t="n">
        <v>5.4397879663</v>
      </c>
      <c r="J67" t="n">
        <v>19323766</v>
      </c>
      <c r="K67" t="n">
        <v>104.1664578412014</v>
      </c>
      <c r="L67" t="n">
        <v>106.743</v>
      </c>
      <c r="M67" t="n">
        <v>22.29896</v>
      </c>
      <c r="N67" t="n">
        <v>5.486363636363636</v>
      </c>
      <c r="O67" t="n">
        <v>4679259.100000001</v>
      </c>
      <c r="P67" t="n">
        <v>37716.4296875</v>
      </c>
      <c r="Q67" t="n">
        <v>91.5934</v>
      </c>
    </row>
    <row r="68">
      <c r="A68" t="inlineStr">
        <is>
          <t>2020-07</t>
        </is>
      </c>
      <c r="B68" t="n">
        <v>89.5084678823</v>
      </c>
      <c r="C68" t="n">
        <v>88.6182809096</v>
      </c>
      <c r="D68" t="n">
        <v>74.88034964160001</v>
      </c>
      <c r="E68" t="n">
        <v>87.18918359600001</v>
      </c>
      <c r="F68" t="n">
        <v>141.5314219213055</v>
      </c>
      <c r="G68" t="n">
        <v>61.72528856566343</v>
      </c>
      <c r="H68" t="n">
        <v>102.6882719639624</v>
      </c>
      <c r="I68" t="n">
        <v>5.0101725365</v>
      </c>
      <c r="J68" t="n">
        <v>19343282</v>
      </c>
      <c r="K68" t="n">
        <v>48.36795710650228</v>
      </c>
      <c r="L68" t="n">
        <v>107.444</v>
      </c>
      <c r="M68" t="n">
        <v>22.40328</v>
      </c>
      <c r="N68" t="n">
        <v>5.01</v>
      </c>
      <c r="O68" t="n">
        <v>6451489.900000002</v>
      </c>
      <c r="P68" t="n">
        <v>37019.6796875</v>
      </c>
      <c r="Q68" t="n">
        <v>95.0256</v>
      </c>
    </row>
    <row r="69">
      <c r="A69" t="inlineStr">
        <is>
          <t>2020-08</t>
        </is>
      </c>
      <c r="B69" t="n">
        <v>92.1359500157</v>
      </c>
      <c r="C69" t="n">
        <v>91.9834641392</v>
      </c>
      <c r="D69" t="n">
        <v>77.52546401009999</v>
      </c>
      <c r="E69" t="n">
        <v>89.20568224509999</v>
      </c>
      <c r="F69" t="n">
        <v>150.1354400480045</v>
      </c>
      <c r="G69" t="n">
        <v>67.76315666809502</v>
      </c>
      <c r="H69" t="n">
        <v>110.2225203554005</v>
      </c>
      <c r="I69" t="n">
        <v>4.9018931006</v>
      </c>
      <c r="J69" t="n">
        <v>19383092</v>
      </c>
      <c r="K69" t="n">
        <v>69.90359703354034</v>
      </c>
      <c r="L69" t="n">
        <v>107.867</v>
      </c>
      <c r="M69" t="n">
        <v>22.20716</v>
      </c>
      <c r="N69" t="n">
        <v>4.728571428571429</v>
      </c>
      <c r="O69" t="n">
        <v>7197092.199999999</v>
      </c>
      <c r="P69" t="n">
        <v>36840.73046875</v>
      </c>
      <c r="Q69" t="n">
        <v>95.95489999999999</v>
      </c>
    </row>
    <row r="70">
      <c r="A70" t="inlineStr">
        <is>
          <t>2020-09</t>
        </is>
      </c>
      <c r="B70" t="n">
        <v>94.63481975169999</v>
      </c>
      <c r="C70" t="n">
        <v>94.26973878290001</v>
      </c>
      <c r="D70" t="n">
        <v>79.77922611539999</v>
      </c>
      <c r="E70" t="n">
        <v>92.8162168373</v>
      </c>
      <c r="F70" t="n">
        <v>153.293642222821</v>
      </c>
      <c r="G70" t="n">
        <v>67.78496298486586</v>
      </c>
      <c r="H70" t="n">
        <v>112.0974131068721</v>
      </c>
      <c r="I70" t="n">
        <v>4.7917313202</v>
      </c>
      <c r="J70" t="n">
        <v>19414014</v>
      </c>
      <c r="K70" t="n">
        <v>65.69602528868637</v>
      </c>
      <c r="L70" t="n">
        <v>108.114</v>
      </c>
      <c r="M70" t="n">
        <v>21.68098</v>
      </c>
      <c r="N70" t="n">
        <v>4.467619047619047</v>
      </c>
      <c r="O70" t="n">
        <v>4810736.800000001</v>
      </c>
      <c r="P70" t="n">
        <v>37458.69140625</v>
      </c>
      <c r="Q70" t="n">
        <v>95.9669</v>
      </c>
    </row>
    <row r="71">
      <c r="A71" t="inlineStr">
        <is>
          <t>2020-10</t>
        </is>
      </c>
      <c r="B71" t="n">
        <v>95.64266625720001</v>
      </c>
      <c r="C71" t="n">
        <v>95.4931955127</v>
      </c>
      <c r="D71" t="n">
        <v>80.58423356599999</v>
      </c>
      <c r="E71" t="n">
        <v>93.6758443251</v>
      </c>
      <c r="F71" t="n">
        <v>153.1231342701805</v>
      </c>
      <c r="G71" t="n">
        <v>71.07719795094714</v>
      </c>
      <c r="H71" t="n">
        <v>114.5409943149338</v>
      </c>
      <c r="I71" t="n">
        <v>4.5905988702</v>
      </c>
      <c r="J71" t="n">
        <v>19477150</v>
      </c>
      <c r="K71" t="n">
        <v>69.03883507001231</v>
      </c>
      <c r="L71" t="n">
        <v>108.774</v>
      </c>
      <c r="M71" t="n">
        <v>21.2705</v>
      </c>
      <c r="N71" t="n">
        <v>4.248181818181819</v>
      </c>
      <c r="O71" t="n">
        <v>6751234.5</v>
      </c>
      <c r="P71" t="n">
        <v>36987.859375</v>
      </c>
      <c r="Q71" t="n">
        <v>96.7394</v>
      </c>
    </row>
    <row r="72">
      <c r="A72" t="inlineStr">
        <is>
          <t>2020-11</t>
        </is>
      </c>
      <c r="B72" t="n">
        <v>96.3823855895</v>
      </c>
      <c r="C72" t="n">
        <v>95.86633494279999</v>
      </c>
      <c r="D72" t="n">
        <v>85.6029256275</v>
      </c>
      <c r="E72" t="n">
        <v>94.9704287034</v>
      </c>
      <c r="F72" t="n">
        <v>156.5525973884266</v>
      </c>
      <c r="G72" t="n">
        <v>73.30768384125645</v>
      </c>
      <c r="H72" t="n">
        <v>115.9786430630953</v>
      </c>
      <c r="I72" t="n">
        <v>4.5126056781</v>
      </c>
      <c r="J72" t="n">
        <v>19562587</v>
      </c>
      <c r="K72" t="n">
        <v>73.88655642285519</v>
      </c>
      <c r="L72" t="n">
        <v>108.856</v>
      </c>
      <c r="M72" t="n">
        <v>20.38192</v>
      </c>
      <c r="N72" t="n">
        <v>4.27</v>
      </c>
      <c r="O72" t="n">
        <v>2998671.899999999</v>
      </c>
      <c r="P72" t="n">
        <v>41778.87109375</v>
      </c>
      <c r="Q72" t="n">
        <v>97.08159999999999</v>
      </c>
    </row>
    <row r="73">
      <c r="A73" t="inlineStr">
        <is>
          <t>2020-12</t>
        </is>
      </c>
      <c r="B73" t="n">
        <v>96.09888229480001</v>
      </c>
      <c r="C73" t="n">
        <v>95.4089773421</v>
      </c>
      <c r="D73" t="n">
        <v>82.803233687</v>
      </c>
      <c r="E73" t="n">
        <v>95.3126986314</v>
      </c>
      <c r="F73" t="n">
        <v>151.1566414937533</v>
      </c>
      <c r="G73" t="n">
        <v>71.69136499377059</v>
      </c>
      <c r="H73" t="n">
        <v>115.4725947415424</v>
      </c>
      <c r="I73" t="n">
        <v>4.1716719329</v>
      </c>
      <c r="J73" t="n">
        <v>19656358</v>
      </c>
      <c r="K73" t="n">
        <v>78.49791540341708</v>
      </c>
      <c r="L73" t="n">
        <v>109.271</v>
      </c>
      <c r="M73" t="n">
        <v>19.96508</v>
      </c>
      <c r="N73" t="n">
        <v>4.293181818181818</v>
      </c>
      <c r="O73" t="n">
        <v>3593698.700000003</v>
      </c>
      <c r="P73" t="n">
        <v>44066.87890625</v>
      </c>
      <c r="Q73" t="n">
        <v>98.363</v>
      </c>
    </row>
    <row r="75">
      <c r="A75" s="6" t="inlineStr">
        <is>
          <t>Fuente: INEGI BIE, Banxico SIE, Yahoo Finance (^MXX), FRED (INDPRO). Dato real, sin transformar.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5" t="inlineStr">
        <is>
          <t>Fecha</t>
        </is>
      </c>
      <c r="B1" s="5" t="inlineStr">
        <is>
          <t>IGAE_mom (log-diff)</t>
        </is>
      </c>
      <c r="C1" s="5" t="inlineStr">
        <is>
          <t>ActividadIndustrial_mom (log-diff)</t>
        </is>
      </c>
      <c r="D1" s="5" t="inlineStr">
        <is>
          <t>FBCF_mom (log-diff)</t>
        </is>
      </c>
      <c r="E1" s="5" t="inlineStr">
        <is>
          <t>IMCP_mom (log-diff)</t>
        </is>
      </c>
      <c r="F1" s="5" t="inlineStr">
        <is>
          <t>ANTAD_mom (log-diff)</t>
        </is>
      </c>
      <c r="G1" s="5" t="inlineStr">
        <is>
          <t>AUTOS_mom (log-diff)</t>
        </is>
      </c>
      <c r="H1" s="5" t="inlineStr">
        <is>
          <t>TARJETAS_mom (log-diff)</t>
        </is>
      </c>
      <c r="I1" s="5" t="inlineStr">
        <is>
          <t>Desempleo_mom (diff simple)</t>
        </is>
      </c>
      <c r="J1" s="5" t="inlineStr">
        <is>
          <t>IMSS_mom (log-diff)</t>
        </is>
      </c>
      <c r="K1" s="5" t="inlineStr">
        <is>
          <t>EPU_mom (diff nivel)</t>
        </is>
      </c>
      <c r="L1" s="5" t="inlineStr">
        <is>
          <t>INPC_mom (log-diff)</t>
        </is>
      </c>
      <c r="M1" s="5" t="inlineStr">
        <is>
          <t>TC_mom (log-diff)</t>
        </is>
      </c>
      <c r="N1" s="5" t="inlineStr">
        <is>
          <t>TIIE_mom (diff simple)</t>
        </is>
      </c>
      <c r="O1" s="5" t="inlineStr">
        <is>
          <t>Balanza_mom (diff nivel)</t>
        </is>
      </c>
      <c r="P1" s="5" t="inlineStr">
        <is>
          <t>BMV_mom (log-diff)</t>
        </is>
      </c>
      <c r="Q1" s="5" t="inlineStr">
        <is>
          <t>INDPRO_mom (log-diff)</t>
        </is>
      </c>
    </row>
    <row r="2">
      <c r="A2">
        <f>Datos_Niveles!A2</f>
        <v/>
      </c>
    </row>
    <row r="3">
      <c r="A3">
        <f>Datos_Niveles!A3</f>
        <v/>
      </c>
      <c r="B3" s="7">
        <f>LN(Datos_Niveles!B3)-LN(Datos_Niveles!B2)</f>
        <v/>
      </c>
      <c r="C3" s="7">
        <f>LN(Datos_Niveles!C3)-LN(Datos_Niveles!C2)</f>
        <v/>
      </c>
      <c r="D3" s="7">
        <f>LN(Datos_Niveles!D3)-LN(Datos_Niveles!D2)</f>
        <v/>
      </c>
      <c r="E3" s="7">
        <f>LN(Datos_Niveles!E3)-LN(Datos_Niveles!E2)</f>
        <v/>
      </c>
      <c r="F3" s="7">
        <f>LN(Datos_Niveles!F3)-LN(Datos_Niveles!F2)</f>
        <v/>
      </c>
      <c r="G3" s="7">
        <f>LN(Datos_Niveles!G3)-LN(Datos_Niveles!G2)</f>
        <v/>
      </c>
      <c r="H3" s="7">
        <f>LN(Datos_Niveles!H3)-LN(Datos_Niveles!H2)</f>
        <v/>
      </c>
      <c r="I3" s="7">
        <f>Datos_Niveles!I3-Datos_Niveles!I2</f>
        <v/>
      </c>
      <c r="J3" s="7">
        <f>LN(Datos_Niveles!J3)-LN(Datos_Niveles!J2)</f>
        <v/>
      </c>
      <c r="K3" s="7">
        <f>Datos_Niveles!K3-Datos_Niveles!K2</f>
        <v/>
      </c>
      <c r="L3" s="7">
        <f>LN(Datos_Niveles!L3)-LN(Datos_Niveles!L2)</f>
        <v/>
      </c>
      <c r="M3" s="7">
        <f>LN(Datos_Niveles!M3)-LN(Datos_Niveles!M2)</f>
        <v/>
      </c>
      <c r="N3" s="7">
        <f>Datos_Niveles!N3-Datos_Niveles!N2</f>
        <v/>
      </c>
      <c r="O3" s="7">
        <f>Datos_Niveles!O3-Datos_Niveles!O2</f>
        <v/>
      </c>
      <c r="P3" s="7">
        <f>LN(Datos_Niveles!P3)-LN(Datos_Niveles!P2)</f>
        <v/>
      </c>
      <c r="Q3" s="7">
        <f>LN(Datos_Niveles!Q3)-LN(Datos_Niveles!Q2)</f>
        <v/>
      </c>
    </row>
    <row r="4">
      <c r="A4">
        <f>Datos_Niveles!A4</f>
        <v/>
      </c>
      <c r="B4" s="7">
        <f>LN(Datos_Niveles!B4)-LN(Datos_Niveles!B3)</f>
        <v/>
      </c>
      <c r="C4" s="7">
        <f>LN(Datos_Niveles!C4)-LN(Datos_Niveles!C3)</f>
        <v/>
      </c>
      <c r="D4" s="7">
        <f>LN(Datos_Niveles!D4)-LN(Datos_Niveles!D3)</f>
        <v/>
      </c>
      <c r="E4" s="7">
        <f>LN(Datos_Niveles!E4)-LN(Datos_Niveles!E3)</f>
        <v/>
      </c>
      <c r="F4" s="7">
        <f>LN(Datos_Niveles!F4)-LN(Datos_Niveles!F3)</f>
        <v/>
      </c>
      <c r="G4" s="7">
        <f>LN(Datos_Niveles!G4)-LN(Datos_Niveles!G3)</f>
        <v/>
      </c>
      <c r="H4" s="7">
        <f>LN(Datos_Niveles!H4)-LN(Datos_Niveles!H3)</f>
        <v/>
      </c>
      <c r="I4" s="7">
        <f>Datos_Niveles!I4-Datos_Niveles!I3</f>
        <v/>
      </c>
      <c r="J4" s="7">
        <f>LN(Datos_Niveles!J4)-LN(Datos_Niveles!J3)</f>
        <v/>
      </c>
      <c r="K4" s="7">
        <f>Datos_Niveles!K4-Datos_Niveles!K3</f>
        <v/>
      </c>
      <c r="L4" s="7">
        <f>LN(Datos_Niveles!L4)-LN(Datos_Niveles!L3)</f>
        <v/>
      </c>
      <c r="M4" s="7">
        <f>LN(Datos_Niveles!M4)-LN(Datos_Niveles!M3)</f>
        <v/>
      </c>
      <c r="N4" s="7">
        <f>Datos_Niveles!N4-Datos_Niveles!N3</f>
        <v/>
      </c>
      <c r="O4" s="7">
        <f>Datos_Niveles!O4-Datos_Niveles!O3</f>
        <v/>
      </c>
      <c r="P4" s="7">
        <f>LN(Datos_Niveles!P4)-LN(Datos_Niveles!P3)</f>
        <v/>
      </c>
      <c r="Q4" s="7">
        <f>LN(Datos_Niveles!Q4)-LN(Datos_Niveles!Q3)</f>
        <v/>
      </c>
    </row>
    <row r="5">
      <c r="A5">
        <f>Datos_Niveles!A5</f>
        <v/>
      </c>
      <c r="B5" s="7">
        <f>LN(Datos_Niveles!B5)-LN(Datos_Niveles!B4)</f>
        <v/>
      </c>
      <c r="C5" s="7">
        <f>LN(Datos_Niveles!C5)-LN(Datos_Niveles!C4)</f>
        <v/>
      </c>
      <c r="D5" s="7">
        <f>LN(Datos_Niveles!D5)-LN(Datos_Niveles!D4)</f>
        <v/>
      </c>
      <c r="E5" s="7">
        <f>LN(Datos_Niveles!E5)-LN(Datos_Niveles!E4)</f>
        <v/>
      </c>
      <c r="F5" s="7">
        <f>LN(Datos_Niveles!F5)-LN(Datos_Niveles!F4)</f>
        <v/>
      </c>
      <c r="G5" s="7">
        <f>LN(Datos_Niveles!G5)-LN(Datos_Niveles!G4)</f>
        <v/>
      </c>
      <c r="H5" s="7">
        <f>LN(Datos_Niveles!H5)-LN(Datos_Niveles!H4)</f>
        <v/>
      </c>
      <c r="I5" s="7">
        <f>Datos_Niveles!I5-Datos_Niveles!I4</f>
        <v/>
      </c>
      <c r="J5" s="7">
        <f>LN(Datos_Niveles!J5)-LN(Datos_Niveles!J4)</f>
        <v/>
      </c>
      <c r="K5" s="7">
        <f>Datos_Niveles!K5-Datos_Niveles!K4</f>
        <v/>
      </c>
      <c r="L5" s="7">
        <f>LN(Datos_Niveles!L5)-LN(Datos_Niveles!L4)</f>
        <v/>
      </c>
      <c r="M5" s="7">
        <f>LN(Datos_Niveles!M5)-LN(Datos_Niveles!M4)</f>
        <v/>
      </c>
      <c r="N5" s="7">
        <f>Datos_Niveles!N5-Datos_Niveles!N4</f>
        <v/>
      </c>
      <c r="O5" s="7">
        <f>Datos_Niveles!O5-Datos_Niveles!O4</f>
        <v/>
      </c>
      <c r="P5" s="7">
        <f>LN(Datos_Niveles!P5)-LN(Datos_Niveles!P4)</f>
        <v/>
      </c>
      <c r="Q5" s="7">
        <f>LN(Datos_Niveles!Q5)-LN(Datos_Niveles!Q4)</f>
        <v/>
      </c>
    </row>
    <row r="6">
      <c r="A6">
        <f>Datos_Niveles!A6</f>
        <v/>
      </c>
      <c r="B6" s="7">
        <f>LN(Datos_Niveles!B6)-LN(Datos_Niveles!B5)</f>
        <v/>
      </c>
      <c r="C6" s="7">
        <f>LN(Datos_Niveles!C6)-LN(Datos_Niveles!C5)</f>
        <v/>
      </c>
      <c r="D6" s="7">
        <f>LN(Datos_Niveles!D6)-LN(Datos_Niveles!D5)</f>
        <v/>
      </c>
      <c r="E6" s="7">
        <f>LN(Datos_Niveles!E6)-LN(Datos_Niveles!E5)</f>
        <v/>
      </c>
      <c r="F6" s="7">
        <f>LN(Datos_Niveles!F6)-LN(Datos_Niveles!F5)</f>
        <v/>
      </c>
      <c r="G6" s="7">
        <f>LN(Datos_Niveles!G6)-LN(Datos_Niveles!G5)</f>
        <v/>
      </c>
      <c r="H6" s="7">
        <f>LN(Datos_Niveles!H6)-LN(Datos_Niveles!H5)</f>
        <v/>
      </c>
      <c r="I6" s="7">
        <f>Datos_Niveles!I6-Datos_Niveles!I5</f>
        <v/>
      </c>
      <c r="J6" s="7">
        <f>LN(Datos_Niveles!J6)-LN(Datos_Niveles!J5)</f>
        <v/>
      </c>
      <c r="K6" s="7">
        <f>Datos_Niveles!K6-Datos_Niveles!K5</f>
        <v/>
      </c>
      <c r="L6" s="7">
        <f>LN(Datos_Niveles!L6)-LN(Datos_Niveles!L5)</f>
        <v/>
      </c>
      <c r="M6" s="7">
        <f>LN(Datos_Niveles!M6)-LN(Datos_Niveles!M5)</f>
        <v/>
      </c>
      <c r="N6" s="7">
        <f>Datos_Niveles!N6-Datos_Niveles!N5</f>
        <v/>
      </c>
      <c r="O6" s="7">
        <f>Datos_Niveles!O6-Datos_Niveles!O5</f>
        <v/>
      </c>
      <c r="P6" s="7">
        <f>LN(Datos_Niveles!P6)-LN(Datos_Niveles!P5)</f>
        <v/>
      </c>
      <c r="Q6" s="7">
        <f>LN(Datos_Niveles!Q6)-LN(Datos_Niveles!Q5)</f>
        <v/>
      </c>
    </row>
    <row r="7">
      <c r="A7">
        <f>Datos_Niveles!A7</f>
        <v/>
      </c>
      <c r="B7" s="7">
        <f>LN(Datos_Niveles!B7)-LN(Datos_Niveles!B6)</f>
        <v/>
      </c>
      <c r="C7" s="7">
        <f>LN(Datos_Niveles!C7)-LN(Datos_Niveles!C6)</f>
        <v/>
      </c>
      <c r="D7" s="7">
        <f>LN(Datos_Niveles!D7)-LN(Datos_Niveles!D6)</f>
        <v/>
      </c>
      <c r="E7" s="7">
        <f>LN(Datos_Niveles!E7)-LN(Datos_Niveles!E6)</f>
        <v/>
      </c>
      <c r="F7" s="7">
        <f>LN(Datos_Niveles!F7)-LN(Datos_Niveles!F6)</f>
        <v/>
      </c>
      <c r="G7" s="7">
        <f>LN(Datos_Niveles!G7)-LN(Datos_Niveles!G6)</f>
        <v/>
      </c>
      <c r="H7" s="7">
        <f>LN(Datos_Niveles!H7)-LN(Datos_Niveles!H6)</f>
        <v/>
      </c>
      <c r="I7" s="7">
        <f>Datos_Niveles!I7-Datos_Niveles!I6</f>
        <v/>
      </c>
      <c r="J7" s="7">
        <f>LN(Datos_Niveles!J7)-LN(Datos_Niveles!J6)</f>
        <v/>
      </c>
      <c r="K7" s="7">
        <f>Datos_Niveles!K7-Datos_Niveles!K6</f>
        <v/>
      </c>
      <c r="L7" s="7">
        <f>LN(Datos_Niveles!L7)-LN(Datos_Niveles!L6)</f>
        <v/>
      </c>
      <c r="M7" s="7">
        <f>LN(Datos_Niveles!M7)-LN(Datos_Niveles!M6)</f>
        <v/>
      </c>
      <c r="N7" s="7">
        <f>Datos_Niveles!N7-Datos_Niveles!N6</f>
        <v/>
      </c>
      <c r="O7" s="7">
        <f>Datos_Niveles!O7-Datos_Niveles!O6</f>
        <v/>
      </c>
      <c r="P7" s="7">
        <f>LN(Datos_Niveles!P7)-LN(Datos_Niveles!P6)</f>
        <v/>
      </c>
      <c r="Q7" s="7">
        <f>LN(Datos_Niveles!Q7)-LN(Datos_Niveles!Q6)</f>
        <v/>
      </c>
    </row>
    <row r="8">
      <c r="A8">
        <f>Datos_Niveles!A8</f>
        <v/>
      </c>
      <c r="B8" s="7">
        <f>LN(Datos_Niveles!B8)-LN(Datos_Niveles!B7)</f>
        <v/>
      </c>
      <c r="C8" s="7">
        <f>LN(Datos_Niveles!C8)-LN(Datos_Niveles!C7)</f>
        <v/>
      </c>
      <c r="D8" s="7">
        <f>LN(Datos_Niveles!D8)-LN(Datos_Niveles!D7)</f>
        <v/>
      </c>
      <c r="E8" s="7">
        <f>LN(Datos_Niveles!E8)-LN(Datos_Niveles!E7)</f>
        <v/>
      </c>
      <c r="F8" s="7">
        <f>LN(Datos_Niveles!F8)-LN(Datos_Niveles!F7)</f>
        <v/>
      </c>
      <c r="G8" s="7">
        <f>LN(Datos_Niveles!G8)-LN(Datos_Niveles!G7)</f>
        <v/>
      </c>
      <c r="H8" s="7">
        <f>LN(Datos_Niveles!H8)-LN(Datos_Niveles!H7)</f>
        <v/>
      </c>
      <c r="I8" s="7">
        <f>Datos_Niveles!I8-Datos_Niveles!I7</f>
        <v/>
      </c>
      <c r="J8" s="7">
        <f>LN(Datos_Niveles!J8)-LN(Datos_Niveles!J7)</f>
        <v/>
      </c>
      <c r="K8" s="7">
        <f>Datos_Niveles!K8-Datos_Niveles!K7</f>
        <v/>
      </c>
      <c r="L8" s="7">
        <f>LN(Datos_Niveles!L8)-LN(Datos_Niveles!L7)</f>
        <v/>
      </c>
      <c r="M8" s="7">
        <f>LN(Datos_Niveles!M8)-LN(Datos_Niveles!M7)</f>
        <v/>
      </c>
      <c r="N8" s="7">
        <f>Datos_Niveles!N8-Datos_Niveles!N7</f>
        <v/>
      </c>
      <c r="O8" s="7">
        <f>Datos_Niveles!O8-Datos_Niveles!O7</f>
        <v/>
      </c>
      <c r="P8" s="7">
        <f>LN(Datos_Niveles!P8)-LN(Datos_Niveles!P7)</f>
        <v/>
      </c>
      <c r="Q8" s="7">
        <f>LN(Datos_Niveles!Q8)-LN(Datos_Niveles!Q7)</f>
        <v/>
      </c>
    </row>
    <row r="9">
      <c r="A9">
        <f>Datos_Niveles!A9</f>
        <v/>
      </c>
      <c r="B9" s="7">
        <f>LN(Datos_Niveles!B9)-LN(Datos_Niveles!B8)</f>
        <v/>
      </c>
      <c r="C9" s="7">
        <f>LN(Datos_Niveles!C9)-LN(Datos_Niveles!C8)</f>
        <v/>
      </c>
      <c r="D9" s="7">
        <f>LN(Datos_Niveles!D9)-LN(Datos_Niveles!D8)</f>
        <v/>
      </c>
      <c r="E9" s="7">
        <f>LN(Datos_Niveles!E9)-LN(Datos_Niveles!E8)</f>
        <v/>
      </c>
      <c r="F9" s="7">
        <f>LN(Datos_Niveles!F9)-LN(Datos_Niveles!F8)</f>
        <v/>
      </c>
      <c r="G9" s="7">
        <f>LN(Datos_Niveles!G9)-LN(Datos_Niveles!G8)</f>
        <v/>
      </c>
      <c r="H9" s="7">
        <f>LN(Datos_Niveles!H9)-LN(Datos_Niveles!H8)</f>
        <v/>
      </c>
      <c r="I9" s="7">
        <f>Datos_Niveles!I9-Datos_Niveles!I8</f>
        <v/>
      </c>
      <c r="J9" s="7">
        <f>LN(Datos_Niveles!J9)-LN(Datos_Niveles!J8)</f>
        <v/>
      </c>
      <c r="K9" s="7">
        <f>Datos_Niveles!K9-Datos_Niveles!K8</f>
        <v/>
      </c>
      <c r="L9" s="7">
        <f>LN(Datos_Niveles!L9)-LN(Datos_Niveles!L8)</f>
        <v/>
      </c>
      <c r="M9" s="7">
        <f>LN(Datos_Niveles!M9)-LN(Datos_Niveles!M8)</f>
        <v/>
      </c>
      <c r="N9" s="7">
        <f>Datos_Niveles!N9-Datos_Niveles!N8</f>
        <v/>
      </c>
      <c r="O9" s="7">
        <f>Datos_Niveles!O9-Datos_Niveles!O8</f>
        <v/>
      </c>
      <c r="P9" s="7">
        <f>LN(Datos_Niveles!P9)-LN(Datos_Niveles!P8)</f>
        <v/>
      </c>
      <c r="Q9" s="7">
        <f>LN(Datos_Niveles!Q9)-LN(Datos_Niveles!Q8)</f>
        <v/>
      </c>
    </row>
    <row r="10">
      <c r="A10">
        <f>Datos_Niveles!A10</f>
        <v/>
      </c>
      <c r="B10" s="7">
        <f>LN(Datos_Niveles!B10)-LN(Datos_Niveles!B9)</f>
        <v/>
      </c>
      <c r="C10" s="7">
        <f>LN(Datos_Niveles!C10)-LN(Datos_Niveles!C9)</f>
        <v/>
      </c>
      <c r="D10" s="7">
        <f>LN(Datos_Niveles!D10)-LN(Datos_Niveles!D9)</f>
        <v/>
      </c>
      <c r="E10" s="7">
        <f>LN(Datos_Niveles!E10)-LN(Datos_Niveles!E9)</f>
        <v/>
      </c>
      <c r="F10" s="7">
        <f>LN(Datos_Niveles!F10)-LN(Datos_Niveles!F9)</f>
        <v/>
      </c>
      <c r="G10" s="7">
        <f>LN(Datos_Niveles!G10)-LN(Datos_Niveles!G9)</f>
        <v/>
      </c>
      <c r="H10" s="7">
        <f>LN(Datos_Niveles!H10)-LN(Datos_Niveles!H9)</f>
        <v/>
      </c>
      <c r="I10" s="7">
        <f>Datos_Niveles!I10-Datos_Niveles!I9</f>
        <v/>
      </c>
      <c r="J10" s="7">
        <f>LN(Datos_Niveles!J10)-LN(Datos_Niveles!J9)</f>
        <v/>
      </c>
      <c r="K10" s="7">
        <f>Datos_Niveles!K10-Datos_Niveles!K9</f>
        <v/>
      </c>
      <c r="L10" s="7">
        <f>LN(Datos_Niveles!L10)-LN(Datos_Niveles!L9)</f>
        <v/>
      </c>
      <c r="M10" s="7">
        <f>LN(Datos_Niveles!M10)-LN(Datos_Niveles!M9)</f>
        <v/>
      </c>
      <c r="N10" s="7">
        <f>Datos_Niveles!N10-Datos_Niveles!N9</f>
        <v/>
      </c>
      <c r="O10" s="7">
        <f>Datos_Niveles!O10-Datos_Niveles!O9</f>
        <v/>
      </c>
      <c r="P10" s="7">
        <f>LN(Datos_Niveles!P10)-LN(Datos_Niveles!P9)</f>
        <v/>
      </c>
      <c r="Q10" s="7">
        <f>LN(Datos_Niveles!Q10)-LN(Datos_Niveles!Q9)</f>
        <v/>
      </c>
    </row>
    <row r="11">
      <c r="A11">
        <f>Datos_Niveles!A11</f>
        <v/>
      </c>
      <c r="B11" s="7">
        <f>LN(Datos_Niveles!B11)-LN(Datos_Niveles!B10)</f>
        <v/>
      </c>
      <c r="C11" s="7">
        <f>LN(Datos_Niveles!C11)-LN(Datos_Niveles!C10)</f>
        <v/>
      </c>
      <c r="D11" s="7">
        <f>LN(Datos_Niveles!D11)-LN(Datos_Niveles!D10)</f>
        <v/>
      </c>
      <c r="E11" s="7">
        <f>LN(Datos_Niveles!E11)-LN(Datos_Niveles!E10)</f>
        <v/>
      </c>
      <c r="F11" s="7">
        <f>LN(Datos_Niveles!F11)-LN(Datos_Niveles!F10)</f>
        <v/>
      </c>
      <c r="G11" s="7">
        <f>LN(Datos_Niveles!G11)-LN(Datos_Niveles!G10)</f>
        <v/>
      </c>
      <c r="H11" s="7">
        <f>LN(Datos_Niveles!H11)-LN(Datos_Niveles!H10)</f>
        <v/>
      </c>
      <c r="I11" s="7">
        <f>Datos_Niveles!I11-Datos_Niveles!I10</f>
        <v/>
      </c>
      <c r="J11" s="7">
        <f>LN(Datos_Niveles!J11)-LN(Datos_Niveles!J10)</f>
        <v/>
      </c>
      <c r="K11" s="7">
        <f>Datos_Niveles!K11-Datos_Niveles!K10</f>
        <v/>
      </c>
      <c r="L11" s="7">
        <f>LN(Datos_Niveles!L11)-LN(Datos_Niveles!L10)</f>
        <v/>
      </c>
      <c r="M11" s="7">
        <f>LN(Datos_Niveles!M11)-LN(Datos_Niveles!M10)</f>
        <v/>
      </c>
      <c r="N11" s="7">
        <f>Datos_Niveles!N11-Datos_Niveles!N10</f>
        <v/>
      </c>
      <c r="O11" s="7">
        <f>Datos_Niveles!O11-Datos_Niveles!O10</f>
        <v/>
      </c>
      <c r="P11" s="7">
        <f>LN(Datos_Niveles!P11)-LN(Datos_Niveles!P10)</f>
        <v/>
      </c>
      <c r="Q11" s="7">
        <f>LN(Datos_Niveles!Q11)-LN(Datos_Niveles!Q10)</f>
        <v/>
      </c>
    </row>
    <row r="12">
      <c r="A12">
        <f>Datos_Niveles!A12</f>
        <v/>
      </c>
      <c r="B12" s="7">
        <f>LN(Datos_Niveles!B12)-LN(Datos_Niveles!B11)</f>
        <v/>
      </c>
      <c r="C12" s="7">
        <f>LN(Datos_Niveles!C12)-LN(Datos_Niveles!C11)</f>
        <v/>
      </c>
      <c r="D12" s="7">
        <f>LN(Datos_Niveles!D12)-LN(Datos_Niveles!D11)</f>
        <v/>
      </c>
      <c r="E12" s="7">
        <f>LN(Datos_Niveles!E12)-LN(Datos_Niveles!E11)</f>
        <v/>
      </c>
      <c r="F12" s="7">
        <f>LN(Datos_Niveles!F12)-LN(Datos_Niveles!F11)</f>
        <v/>
      </c>
      <c r="G12" s="7">
        <f>LN(Datos_Niveles!G12)-LN(Datos_Niveles!G11)</f>
        <v/>
      </c>
      <c r="H12" s="7">
        <f>LN(Datos_Niveles!H12)-LN(Datos_Niveles!H11)</f>
        <v/>
      </c>
      <c r="I12" s="7">
        <f>Datos_Niveles!I12-Datos_Niveles!I11</f>
        <v/>
      </c>
      <c r="J12" s="7">
        <f>LN(Datos_Niveles!J12)-LN(Datos_Niveles!J11)</f>
        <v/>
      </c>
      <c r="K12" s="7">
        <f>Datos_Niveles!K12-Datos_Niveles!K11</f>
        <v/>
      </c>
      <c r="L12" s="7">
        <f>LN(Datos_Niveles!L12)-LN(Datos_Niveles!L11)</f>
        <v/>
      </c>
      <c r="M12" s="7">
        <f>LN(Datos_Niveles!M12)-LN(Datos_Niveles!M11)</f>
        <v/>
      </c>
      <c r="N12" s="7">
        <f>Datos_Niveles!N12-Datos_Niveles!N11</f>
        <v/>
      </c>
      <c r="O12" s="7">
        <f>Datos_Niveles!O12-Datos_Niveles!O11</f>
        <v/>
      </c>
      <c r="P12" s="7">
        <f>LN(Datos_Niveles!P12)-LN(Datos_Niveles!P11)</f>
        <v/>
      </c>
      <c r="Q12" s="7">
        <f>LN(Datos_Niveles!Q12)-LN(Datos_Niveles!Q11)</f>
        <v/>
      </c>
    </row>
    <row r="13">
      <c r="A13">
        <f>Datos_Niveles!A13</f>
        <v/>
      </c>
      <c r="B13" s="7">
        <f>LN(Datos_Niveles!B13)-LN(Datos_Niveles!B12)</f>
        <v/>
      </c>
      <c r="C13" s="7">
        <f>LN(Datos_Niveles!C13)-LN(Datos_Niveles!C12)</f>
        <v/>
      </c>
      <c r="D13" s="7">
        <f>LN(Datos_Niveles!D13)-LN(Datos_Niveles!D12)</f>
        <v/>
      </c>
      <c r="E13" s="7">
        <f>LN(Datos_Niveles!E13)-LN(Datos_Niveles!E12)</f>
        <v/>
      </c>
      <c r="F13" s="7">
        <f>LN(Datos_Niveles!F13)-LN(Datos_Niveles!F12)</f>
        <v/>
      </c>
      <c r="G13" s="7">
        <f>LN(Datos_Niveles!G13)-LN(Datos_Niveles!G12)</f>
        <v/>
      </c>
      <c r="H13" s="7">
        <f>LN(Datos_Niveles!H13)-LN(Datos_Niveles!H12)</f>
        <v/>
      </c>
      <c r="I13" s="7">
        <f>Datos_Niveles!I13-Datos_Niveles!I12</f>
        <v/>
      </c>
      <c r="J13" s="7">
        <f>LN(Datos_Niveles!J13)-LN(Datos_Niveles!J12)</f>
        <v/>
      </c>
      <c r="K13" s="7">
        <f>Datos_Niveles!K13-Datos_Niveles!K12</f>
        <v/>
      </c>
      <c r="L13" s="7">
        <f>LN(Datos_Niveles!L13)-LN(Datos_Niveles!L12)</f>
        <v/>
      </c>
      <c r="M13" s="7">
        <f>LN(Datos_Niveles!M13)-LN(Datos_Niveles!M12)</f>
        <v/>
      </c>
      <c r="N13" s="7">
        <f>Datos_Niveles!N13-Datos_Niveles!N12</f>
        <v/>
      </c>
      <c r="O13" s="7">
        <f>Datos_Niveles!O13-Datos_Niveles!O12</f>
        <v/>
      </c>
      <c r="P13" s="7">
        <f>LN(Datos_Niveles!P13)-LN(Datos_Niveles!P12)</f>
        <v/>
      </c>
      <c r="Q13" s="7">
        <f>LN(Datos_Niveles!Q13)-LN(Datos_Niveles!Q12)</f>
        <v/>
      </c>
    </row>
    <row r="14">
      <c r="A14">
        <f>Datos_Niveles!A14</f>
        <v/>
      </c>
      <c r="B14" s="7">
        <f>LN(Datos_Niveles!B14)-LN(Datos_Niveles!B13)</f>
        <v/>
      </c>
      <c r="C14" s="7">
        <f>LN(Datos_Niveles!C14)-LN(Datos_Niveles!C13)</f>
        <v/>
      </c>
      <c r="D14" s="7">
        <f>LN(Datos_Niveles!D14)-LN(Datos_Niveles!D13)</f>
        <v/>
      </c>
      <c r="E14" s="7">
        <f>LN(Datos_Niveles!E14)-LN(Datos_Niveles!E13)</f>
        <v/>
      </c>
      <c r="F14" s="7">
        <f>LN(Datos_Niveles!F14)-LN(Datos_Niveles!F13)</f>
        <v/>
      </c>
      <c r="G14" s="7">
        <f>LN(Datos_Niveles!G14)-LN(Datos_Niveles!G13)</f>
        <v/>
      </c>
      <c r="H14" s="7">
        <f>LN(Datos_Niveles!H14)-LN(Datos_Niveles!H13)</f>
        <v/>
      </c>
      <c r="I14" s="7">
        <f>Datos_Niveles!I14-Datos_Niveles!I13</f>
        <v/>
      </c>
      <c r="J14" s="7">
        <f>LN(Datos_Niveles!J14)-LN(Datos_Niveles!J13)</f>
        <v/>
      </c>
      <c r="K14" s="7">
        <f>Datos_Niveles!K14-Datos_Niveles!K13</f>
        <v/>
      </c>
      <c r="L14" s="7">
        <f>LN(Datos_Niveles!L14)-LN(Datos_Niveles!L13)</f>
        <v/>
      </c>
      <c r="M14" s="7">
        <f>LN(Datos_Niveles!M14)-LN(Datos_Niveles!M13)</f>
        <v/>
      </c>
      <c r="N14" s="7">
        <f>Datos_Niveles!N14-Datos_Niveles!N13</f>
        <v/>
      </c>
      <c r="O14" s="7">
        <f>Datos_Niveles!O14-Datos_Niveles!O13</f>
        <v/>
      </c>
      <c r="P14" s="7">
        <f>LN(Datos_Niveles!P14)-LN(Datos_Niveles!P13)</f>
        <v/>
      </c>
      <c r="Q14" s="7">
        <f>LN(Datos_Niveles!Q14)-LN(Datos_Niveles!Q13)</f>
        <v/>
      </c>
    </row>
    <row r="15">
      <c r="A15">
        <f>Datos_Niveles!A15</f>
        <v/>
      </c>
      <c r="B15" s="7">
        <f>LN(Datos_Niveles!B15)-LN(Datos_Niveles!B14)</f>
        <v/>
      </c>
      <c r="C15" s="7">
        <f>LN(Datos_Niveles!C15)-LN(Datos_Niveles!C14)</f>
        <v/>
      </c>
      <c r="D15" s="7">
        <f>LN(Datos_Niveles!D15)-LN(Datos_Niveles!D14)</f>
        <v/>
      </c>
      <c r="E15" s="7">
        <f>LN(Datos_Niveles!E15)-LN(Datos_Niveles!E14)</f>
        <v/>
      </c>
      <c r="F15" s="7">
        <f>LN(Datos_Niveles!F15)-LN(Datos_Niveles!F14)</f>
        <v/>
      </c>
      <c r="G15" s="7">
        <f>LN(Datos_Niveles!G15)-LN(Datos_Niveles!G14)</f>
        <v/>
      </c>
      <c r="H15" s="7">
        <f>LN(Datos_Niveles!H15)-LN(Datos_Niveles!H14)</f>
        <v/>
      </c>
      <c r="I15" s="7">
        <f>Datos_Niveles!I15-Datos_Niveles!I14</f>
        <v/>
      </c>
      <c r="J15" s="7">
        <f>LN(Datos_Niveles!J15)-LN(Datos_Niveles!J14)</f>
        <v/>
      </c>
      <c r="K15" s="7">
        <f>Datos_Niveles!K15-Datos_Niveles!K14</f>
        <v/>
      </c>
      <c r="L15" s="7">
        <f>LN(Datos_Niveles!L15)-LN(Datos_Niveles!L14)</f>
        <v/>
      </c>
      <c r="M15" s="7">
        <f>LN(Datos_Niveles!M15)-LN(Datos_Niveles!M14)</f>
        <v/>
      </c>
      <c r="N15" s="7">
        <f>Datos_Niveles!N15-Datos_Niveles!N14</f>
        <v/>
      </c>
      <c r="O15" s="7">
        <f>Datos_Niveles!O15-Datos_Niveles!O14</f>
        <v/>
      </c>
      <c r="P15" s="7">
        <f>LN(Datos_Niveles!P15)-LN(Datos_Niveles!P14)</f>
        <v/>
      </c>
      <c r="Q15" s="7">
        <f>LN(Datos_Niveles!Q15)-LN(Datos_Niveles!Q14)</f>
        <v/>
      </c>
    </row>
    <row r="16">
      <c r="A16">
        <f>Datos_Niveles!A16</f>
        <v/>
      </c>
      <c r="B16" s="7">
        <f>LN(Datos_Niveles!B16)-LN(Datos_Niveles!B15)</f>
        <v/>
      </c>
      <c r="C16" s="7">
        <f>LN(Datos_Niveles!C16)-LN(Datos_Niveles!C15)</f>
        <v/>
      </c>
      <c r="D16" s="7">
        <f>LN(Datos_Niveles!D16)-LN(Datos_Niveles!D15)</f>
        <v/>
      </c>
      <c r="E16" s="7">
        <f>LN(Datos_Niveles!E16)-LN(Datos_Niveles!E15)</f>
        <v/>
      </c>
      <c r="F16" s="7">
        <f>LN(Datos_Niveles!F16)-LN(Datos_Niveles!F15)</f>
        <v/>
      </c>
      <c r="G16" s="7">
        <f>LN(Datos_Niveles!G16)-LN(Datos_Niveles!G15)</f>
        <v/>
      </c>
      <c r="H16" s="7">
        <f>LN(Datos_Niveles!H16)-LN(Datos_Niveles!H15)</f>
        <v/>
      </c>
      <c r="I16" s="7">
        <f>Datos_Niveles!I16-Datos_Niveles!I15</f>
        <v/>
      </c>
      <c r="J16" s="7">
        <f>LN(Datos_Niveles!J16)-LN(Datos_Niveles!J15)</f>
        <v/>
      </c>
      <c r="K16" s="7">
        <f>Datos_Niveles!K16-Datos_Niveles!K15</f>
        <v/>
      </c>
      <c r="L16" s="7">
        <f>LN(Datos_Niveles!L16)-LN(Datos_Niveles!L15)</f>
        <v/>
      </c>
      <c r="M16" s="7">
        <f>LN(Datos_Niveles!M16)-LN(Datos_Niveles!M15)</f>
        <v/>
      </c>
      <c r="N16" s="7">
        <f>Datos_Niveles!N16-Datos_Niveles!N15</f>
        <v/>
      </c>
      <c r="O16" s="7">
        <f>Datos_Niveles!O16-Datos_Niveles!O15</f>
        <v/>
      </c>
      <c r="P16" s="7">
        <f>LN(Datos_Niveles!P16)-LN(Datos_Niveles!P15)</f>
        <v/>
      </c>
      <c r="Q16" s="7">
        <f>LN(Datos_Niveles!Q16)-LN(Datos_Niveles!Q15)</f>
        <v/>
      </c>
    </row>
    <row r="17">
      <c r="A17">
        <f>Datos_Niveles!A17</f>
        <v/>
      </c>
      <c r="B17" s="7">
        <f>LN(Datos_Niveles!B17)-LN(Datos_Niveles!B16)</f>
        <v/>
      </c>
      <c r="C17" s="7">
        <f>LN(Datos_Niveles!C17)-LN(Datos_Niveles!C16)</f>
        <v/>
      </c>
      <c r="D17" s="7">
        <f>LN(Datos_Niveles!D17)-LN(Datos_Niveles!D16)</f>
        <v/>
      </c>
      <c r="E17" s="7">
        <f>LN(Datos_Niveles!E17)-LN(Datos_Niveles!E16)</f>
        <v/>
      </c>
      <c r="F17" s="7">
        <f>LN(Datos_Niveles!F17)-LN(Datos_Niveles!F16)</f>
        <v/>
      </c>
      <c r="G17" s="7">
        <f>LN(Datos_Niveles!G17)-LN(Datos_Niveles!G16)</f>
        <v/>
      </c>
      <c r="H17" s="7">
        <f>LN(Datos_Niveles!H17)-LN(Datos_Niveles!H16)</f>
        <v/>
      </c>
      <c r="I17" s="7">
        <f>Datos_Niveles!I17-Datos_Niveles!I16</f>
        <v/>
      </c>
      <c r="J17" s="7">
        <f>LN(Datos_Niveles!J17)-LN(Datos_Niveles!J16)</f>
        <v/>
      </c>
      <c r="K17" s="7">
        <f>Datos_Niveles!K17-Datos_Niveles!K16</f>
        <v/>
      </c>
      <c r="L17" s="7">
        <f>LN(Datos_Niveles!L17)-LN(Datos_Niveles!L16)</f>
        <v/>
      </c>
      <c r="M17" s="7">
        <f>LN(Datos_Niveles!M17)-LN(Datos_Niveles!M16)</f>
        <v/>
      </c>
      <c r="N17" s="7">
        <f>Datos_Niveles!N17-Datos_Niveles!N16</f>
        <v/>
      </c>
      <c r="O17" s="7">
        <f>Datos_Niveles!O17-Datos_Niveles!O16</f>
        <v/>
      </c>
      <c r="P17" s="7">
        <f>LN(Datos_Niveles!P17)-LN(Datos_Niveles!P16)</f>
        <v/>
      </c>
      <c r="Q17" s="7">
        <f>LN(Datos_Niveles!Q17)-LN(Datos_Niveles!Q16)</f>
        <v/>
      </c>
    </row>
    <row r="18">
      <c r="A18">
        <f>Datos_Niveles!A18</f>
        <v/>
      </c>
      <c r="B18" s="7">
        <f>LN(Datos_Niveles!B18)-LN(Datos_Niveles!B17)</f>
        <v/>
      </c>
      <c r="C18" s="7">
        <f>LN(Datos_Niveles!C18)-LN(Datos_Niveles!C17)</f>
        <v/>
      </c>
      <c r="D18" s="7">
        <f>LN(Datos_Niveles!D18)-LN(Datos_Niveles!D17)</f>
        <v/>
      </c>
      <c r="E18" s="7">
        <f>LN(Datos_Niveles!E18)-LN(Datos_Niveles!E17)</f>
        <v/>
      </c>
      <c r="F18" s="7">
        <f>LN(Datos_Niveles!F18)-LN(Datos_Niveles!F17)</f>
        <v/>
      </c>
      <c r="G18" s="7">
        <f>LN(Datos_Niveles!G18)-LN(Datos_Niveles!G17)</f>
        <v/>
      </c>
      <c r="H18" s="7">
        <f>LN(Datos_Niveles!H18)-LN(Datos_Niveles!H17)</f>
        <v/>
      </c>
      <c r="I18" s="7">
        <f>Datos_Niveles!I18-Datos_Niveles!I17</f>
        <v/>
      </c>
      <c r="J18" s="7">
        <f>LN(Datos_Niveles!J18)-LN(Datos_Niveles!J17)</f>
        <v/>
      </c>
      <c r="K18" s="7">
        <f>Datos_Niveles!K18-Datos_Niveles!K17</f>
        <v/>
      </c>
      <c r="L18" s="7">
        <f>LN(Datos_Niveles!L18)-LN(Datos_Niveles!L17)</f>
        <v/>
      </c>
      <c r="M18" s="7">
        <f>LN(Datos_Niveles!M18)-LN(Datos_Niveles!M17)</f>
        <v/>
      </c>
      <c r="N18" s="7">
        <f>Datos_Niveles!N18-Datos_Niveles!N17</f>
        <v/>
      </c>
      <c r="O18" s="7">
        <f>Datos_Niveles!O18-Datos_Niveles!O17</f>
        <v/>
      </c>
      <c r="P18" s="7">
        <f>LN(Datos_Niveles!P18)-LN(Datos_Niveles!P17)</f>
        <v/>
      </c>
      <c r="Q18" s="7">
        <f>LN(Datos_Niveles!Q18)-LN(Datos_Niveles!Q17)</f>
        <v/>
      </c>
    </row>
    <row r="19">
      <c r="A19">
        <f>Datos_Niveles!A19</f>
        <v/>
      </c>
      <c r="B19" s="7">
        <f>LN(Datos_Niveles!B19)-LN(Datos_Niveles!B18)</f>
        <v/>
      </c>
      <c r="C19" s="7">
        <f>LN(Datos_Niveles!C19)-LN(Datos_Niveles!C18)</f>
        <v/>
      </c>
      <c r="D19" s="7">
        <f>LN(Datos_Niveles!D19)-LN(Datos_Niveles!D18)</f>
        <v/>
      </c>
      <c r="E19" s="7">
        <f>LN(Datos_Niveles!E19)-LN(Datos_Niveles!E18)</f>
        <v/>
      </c>
      <c r="F19" s="7">
        <f>LN(Datos_Niveles!F19)-LN(Datos_Niveles!F18)</f>
        <v/>
      </c>
      <c r="G19" s="7">
        <f>LN(Datos_Niveles!G19)-LN(Datos_Niveles!G18)</f>
        <v/>
      </c>
      <c r="H19" s="7">
        <f>LN(Datos_Niveles!H19)-LN(Datos_Niveles!H18)</f>
        <v/>
      </c>
      <c r="I19" s="7">
        <f>Datos_Niveles!I19-Datos_Niveles!I18</f>
        <v/>
      </c>
      <c r="J19" s="7">
        <f>LN(Datos_Niveles!J19)-LN(Datos_Niveles!J18)</f>
        <v/>
      </c>
      <c r="K19" s="7">
        <f>Datos_Niveles!K19-Datos_Niveles!K18</f>
        <v/>
      </c>
      <c r="L19" s="7">
        <f>LN(Datos_Niveles!L19)-LN(Datos_Niveles!L18)</f>
        <v/>
      </c>
      <c r="M19" s="7">
        <f>LN(Datos_Niveles!M19)-LN(Datos_Niveles!M18)</f>
        <v/>
      </c>
      <c r="N19" s="7">
        <f>Datos_Niveles!N19-Datos_Niveles!N18</f>
        <v/>
      </c>
      <c r="O19" s="7">
        <f>Datos_Niveles!O19-Datos_Niveles!O18</f>
        <v/>
      </c>
      <c r="P19" s="7">
        <f>LN(Datos_Niveles!P19)-LN(Datos_Niveles!P18)</f>
        <v/>
      </c>
      <c r="Q19" s="7">
        <f>LN(Datos_Niveles!Q19)-LN(Datos_Niveles!Q18)</f>
        <v/>
      </c>
    </row>
    <row r="20">
      <c r="A20">
        <f>Datos_Niveles!A20</f>
        <v/>
      </c>
      <c r="B20" s="7">
        <f>LN(Datos_Niveles!B20)-LN(Datos_Niveles!B19)</f>
        <v/>
      </c>
      <c r="C20" s="7">
        <f>LN(Datos_Niveles!C20)-LN(Datos_Niveles!C19)</f>
        <v/>
      </c>
      <c r="D20" s="7">
        <f>LN(Datos_Niveles!D20)-LN(Datos_Niveles!D19)</f>
        <v/>
      </c>
      <c r="E20" s="7">
        <f>LN(Datos_Niveles!E20)-LN(Datos_Niveles!E19)</f>
        <v/>
      </c>
      <c r="F20" s="7">
        <f>LN(Datos_Niveles!F20)-LN(Datos_Niveles!F19)</f>
        <v/>
      </c>
      <c r="G20" s="7">
        <f>LN(Datos_Niveles!G20)-LN(Datos_Niveles!G19)</f>
        <v/>
      </c>
      <c r="H20" s="7">
        <f>LN(Datos_Niveles!H20)-LN(Datos_Niveles!H19)</f>
        <v/>
      </c>
      <c r="I20" s="7">
        <f>Datos_Niveles!I20-Datos_Niveles!I19</f>
        <v/>
      </c>
      <c r="J20" s="7">
        <f>LN(Datos_Niveles!J20)-LN(Datos_Niveles!J19)</f>
        <v/>
      </c>
      <c r="K20" s="7">
        <f>Datos_Niveles!K20-Datos_Niveles!K19</f>
        <v/>
      </c>
      <c r="L20" s="7">
        <f>LN(Datos_Niveles!L20)-LN(Datos_Niveles!L19)</f>
        <v/>
      </c>
      <c r="M20" s="7">
        <f>LN(Datos_Niveles!M20)-LN(Datos_Niveles!M19)</f>
        <v/>
      </c>
      <c r="N20" s="7">
        <f>Datos_Niveles!N20-Datos_Niveles!N19</f>
        <v/>
      </c>
      <c r="O20" s="7">
        <f>Datos_Niveles!O20-Datos_Niveles!O19</f>
        <v/>
      </c>
      <c r="P20" s="7">
        <f>LN(Datos_Niveles!P20)-LN(Datos_Niveles!P19)</f>
        <v/>
      </c>
      <c r="Q20" s="7">
        <f>LN(Datos_Niveles!Q20)-LN(Datos_Niveles!Q19)</f>
        <v/>
      </c>
    </row>
    <row r="21">
      <c r="A21">
        <f>Datos_Niveles!A21</f>
        <v/>
      </c>
      <c r="B21" s="7">
        <f>LN(Datos_Niveles!B21)-LN(Datos_Niveles!B20)</f>
        <v/>
      </c>
      <c r="C21" s="7">
        <f>LN(Datos_Niveles!C21)-LN(Datos_Niveles!C20)</f>
        <v/>
      </c>
      <c r="D21" s="7">
        <f>LN(Datos_Niveles!D21)-LN(Datos_Niveles!D20)</f>
        <v/>
      </c>
      <c r="E21" s="7">
        <f>LN(Datos_Niveles!E21)-LN(Datos_Niveles!E20)</f>
        <v/>
      </c>
      <c r="F21" s="7">
        <f>LN(Datos_Niveles!F21)-LN(Datos_Niveles!F20)</f>
        <v/>
      </c>
      <c r="G21" s="7">
        <f>LN(Datos_Niveles!G21)-LN(Datos_Niveles!G20)</f>
        <v/>
      </c>
      <c r="H21" s="7">
        <f>LN(Datos_Niveles!H21)-LN(Datos_Niveles!H20)</f>
        <v/>
      </c>
      <c r="I21" s="7">
        <f>Datos_Niveles!I21-Datos_Niveles!I20</f>
        <v/>
      </c>
      <c r="J21" s="7">
        <f>LN(Datos_Niveles!J21)-LN(Datos_Niveles!J20)</f>
        <v/>
      </c>
      <c r="K21" s="7">
        <f>Datos_Niveles!K21-Datos_Niveles!K20</f>
        <v/>
      </c>
      <c r="L21" s="7">
        <f>LN(Datos_Niveles!L21)-LN(Datos_Niveles!L20)</f>
        <v/>
      </c>
      <c r="M21" s="7">
        <f>LN(Datos_Niveles!M21)-LN(Datos_Niveles!M20)</f>
        <v/>
      </c>
      <c r="N21" s="7">
        <f>Datos_Niveles!N21-Datos_Niveles!N20</f>
        <v/>
      </c>
      <c r="O21" s="7">
        <f>Datos_Niveles!O21-Datos_Niveles!O20</f>
        <v/>
      </c>
      <c r="P21" s="7">
        <f>LN(Datos_Niveles!P21)-LN(Datos_Niveles!P20)</f>
        <v/>
      </c>
      <c r="Q21" s="7">
        <f>LN(Datos_Niveles!Q21)-LN(Datos_Niveles!Q20)</f>
        <v/>
      </c>
    </row>
    <row r="22">
      <c r="A22">
        <f>Datos_Niveles!A22</f>
        <v/>
      </c>
      <c r="B22" s="7">
        <f>LN(Datos_Niveles!B22)-LN(Datos_Niveles!B21)</f>
        <v/>
      </c>
      <c r="C22" s="7">
        <f>LN(Datos_Niveles!C22)-LN(Datos_Niveles!C21)</f>
        <v/>
      </c>
      <c r="D22" s="7">
        <f>LN(Datos_Niveles!D22)-LN(Datos_Niveles!D21)</f>
        <v/>
      </c>
      <c r="E22" s="7">
        <f>LN(Datos_Niveles!E22)-LN(Datos_Niveles!E21)</f>
        <v/>
      </c>
      <c r="F22" s="7">
        <f>LN(Datos_Niveles!F22)-LN(Datos_Niveles!F21)</f>
        <v/>
      </c>
      <c r="G22" s="7">
        <f>LN(Datos_Niveles!G22)-LN(Datos_Niveles!G21)</f>
        <v/>
      </c>
      <c r="H22" s="7">
        <f>LN(Datos_Niveles!H22)-LN(Datos_Niveles!H21)</f>
        <v/>
      </c>
      <c r="I22" s="7">
        <f>Datos_Niveles!I22-Datos_Niveles!I21</f>
        <v/>
      </c>
      <c r="J22" s="7">
        <f>LN(Datos_Niveles!J22)-LN(Datos_Niveles!J21)</f>
        <v/>
      </c>
      <c r="K22" s="7">
        <f>Datos_Niveles!K22-Datos_Niveles!K21</f>
        <v/>
      </c>
      <c r="L22" s="7">
        <f>LN(Datos_Niveles!L22)-LN(Datos_Niveles!L21)</f>
        <v/>
      </c>
      <c r="M22" s="7">
        <f>LN(Datos_Niveles!M22)-LN(Datos_Niveles!M21)</f>
        <v/>
      </c>
      <c r="N22" s="7">
        <f>Datos_Niveles!N22-Datos_Niveles!N21</f>
        <v/>
      </c>
      <c r="O22" s="7">
        <f>Datos_Niveles!O22-Datos_Niveles!O21</f>
        <v/>
      </c>
      <c r="P22" s="7">
        <f>LN(Datos_Niveles!P22)-LN(Datos_Niveles!P21)</f>
        <v/>
      </c>
      <c r="Q22" s="7">
        <f>LN(Datos_Niveles!Q22)-LN(Datos_Niveles!Q21)</f>
        <v/>
      </c>
    </row>
    <row r="23">
      <c r="A23">
        <f>Datos_Niveles!A23</f>
        <v/>
      </c>
      <c r="B23" s="7">
        <f>LN(Datos_Niveles!B23)-LN(Datos_Niveles!B22)</f>
        <v/>
      </c>
      <c r="C23" s="7">
        <f>LN(Datos_Niveles!C23)-LN(Datos_Niveles!C22)</f>
        <v/>
      </c>
      <c r="D23" s="7">
        <f>LN(Datos_Niveles!D23)-LN(Datos_Niveles!D22)</f>
        <v/>
      </c>
      <c r="E23" s="7">
        <f>LN(Datos_Niveles!E23)-LN(Datos_Niveles!E22)</f>
        <v/>
      </c>
      <c r="F23" s="7">
        <f>LN(Datos_Niveles!F23)-LN(Datos_Niveles!F22)</f>
        <v/>
      </c>
      <c r="G23" s="7">
        <f>LN(Datos_Niveles!G23)-LN(Datos_Niveles!G22)</f>
        <v/>
      </c>
      <c r="H23" s="7">
        <f>LN(Datos_Niveles!H23)-LN(Datos_Niveles!H22)</f>
        <v/>
      </c>
      <c r="I23" s="7">
        <f>Datos_Niveles!I23-Datos_Niveles!I22</f>
        <v/>
      </c>
      <c r="J23" s="7">
        <f>LN(Datos_Niveles!J23)-LN(Datos_Niveles!J22)</f>
        <v/>
      </c>
      <c r="K23" s="7">
        <f>Datos_Niveles!K23-Datos_Niveles!K22</f>
        <v/>
      </c>
      <c r="L23" s="7">
        <f>LN(Datos_Niveles!L23)-LN(Datos_Niveles!L22)</f>
        <v/>
      </c>
      <c r="M23" s="7">
        <f>LN(Datos_Niveles!M23)-LN(Datos_Niveles!M22)</f>
        <v/>
      </c>
      <c r="N23" s="7">
        <f>Datos_Niveles!N23-Datos_Niveles!N22</f>
        <v/>
      </c>
      <c r="O23" s="7">
        <f>Datos_Niveles!O23-Datos_Niveles!O22</f>
        <v/>
      </c>
      <c r="P23" s="7">
        <f>LN(Datos_Niveles!P23)-LN(Datos_Niveles!P22)</f>
        <v/>
      </c>
      <c r="Q23" s="7">
        <f>LN(Datos_Niveles!Q23)-LN(Datos_Niveles!Q22)</f>
        <v/>
      </c>
    </row>
    <row r="24">
      <c r="A24">
        <f>Datos_Niveles!A24</f>
        <v/>
      </c>
      <c r="B24" s="7">
        <f>LN(Datos_Niveles!B24)-LN(Datos_Niveles!B23)</f>
        <v/>
      </c>
      <c r="C24" s="7">
        <f>LN(Datos_Niveles!C24)-LN(Datos_Niveles!C23)</f>
        <v/>
      </c>
      <c r="D24" s="7">
        <f>LN(Datos_Niveles!D24)-LN(Datos_Niveles!D23)</f>
        <v/>
      </c>
      <c r="E24" s="7">
        <f>LN(Datos_Niveles!E24)-LN(Datos_Niveles!E23)</f>
        <v/>
      </c>
      <c r="F24" s="7">
        <f>LN(Datos_Niveles!F24)-LN(Datos_Niveles!F23)</f>
        <v/>
      </c>
      <c r="G24" s="7">
        <f>LN(Datos_Niveles!G24)-LN(Datos_Niveles!G23)</f>
        <v/>
      </c>
      <c r="H24" s="7">
        <f>LN(Datos_Niveles!H24)-LN(Datos_Niveles!H23)</f>
        <v/>
      </c>
      <c r="I24" s="7">
        <f>Datos_Niveles!I24-Datos_Niveles!I23</f>
        <v/>
      </c>
      <c r="J24" s="7">
        <f>LN(Datos_Niveles!J24)-LN(Datos_Niveles!J23)</f>
        <v/>
      </c>
      <c r="K24" s="7">
        <f>Datos_Niveles!K24-Datos_Niveles!K23</f>
        <v/>
      </c>
      <c r="L24" s="7">
        <f>LN(Datos_Niveles!L24)-LN(Datos_Niveles!L23)</f>
        <v/>
      </c>
      <c r="M24" s="7">
        <f>LN(Datos_Niveles!M24)-LN(Datos_Niveles!M23)</f>
        <v/>
      </c>
      <c r="N24" s="7">
        <f>Datos_Niveles!N24-Datos_Niveles!N23</f>
        <v/>
      </c>
      <c r="O24" s="7">
        <f>Datos_Niveles!O24-Datos_Niveles!O23</f>
        <v/>
      </c>
      <c r="P24" s="7">
        <f>LN(Datos_Niveles!P24)-LN(Datos_Niveles!P23)</f>
        <v/>
      </c>
      <c r="Q24" s="7">
        <f>LN(Datos_Niveles!Q24)-LN(Datos_Niveles!Q23)</f>
        <v/>
      </c>
    </row>
    <row r="25">
      <c r="A25">
        <f>Datos_Niveles!A25</f>
        <v/>
      </c>
      <c r="B25" s="7">
        <f>LN(Datos_Niveles!B25)-LN(Datos_Niveles!B24)</f>
        <v/>
      </c>
      <c r="C25" s="7">
        <f>LN(Datos_Niveles!C25)-LN(Datos_Niveles!C24)</f>
        <v/>
      </c>
      <c r="D25" s="7">
        <f>LN(Datos_Niveles!D25)-LN(Datos_Niveles!D24)</f>
        <v/>
      </c>
      <c r="E25" s="7">
        <f>LN(Datos_Niveles!E25)-LN(Datos_Niveles!E24)</f>
        <v/>
      </c>
      <c r="F25" s="7">
        <f>LN(Datos_Niveles!F25)-LN(Datos_Niveles!F24)</f>
        <v/>
      </c>
      <c r="G25" s="7">
        <f>LN(Datos_Niveles!G25)-LN(Datos_Niveles!G24)</f>
        <v/>
      </c>
      <c r="H25" s="7">
        <f>LN(Datos_Niveles!H25)-LN(Datos_Niveles!H24)</f>
        <v/>
      </c>
      <c r="I25" s="7">
        <f>Datos_Niveles!I25-Datos_Niveles!I24</f>
        <v/>
      </c>
      <c r="J25" s="7">
        <f>LN(Datos_Niveles!J25)-LN(Datos_Niveles!J24)</f>
        <v/>
      </c>
      <c r="K25" s="7">
        <f>Datos_Niveles!K25-Datos_Niveles!K24</f>
        <v/>
      </c>
      <c r="L25" s="7">
        <f>LN(Datos_Niveles!L25)-LN(Datos_Niveles!L24)</f>
        <v/>
      </c>
      <c r="M25" s="7">
        <f>LN(Datos_Niveles!M25)-LN(Datos_Niveles!M24)</f>
        <v/>
      </c>
      <c r="N25" s="7">
        <f>Datos_Niveles!N25-Datos_Niveles!N24</f>
        <v/>
      </c>
      <c r="O25" s="7">
        <f>Datos_Niveles!O25-Datos_Niveles!O24</f>
        <v/>
      </c>
      <c r="P25" s="7">
        <f>LN(Datos_Niveles!P25)-LN(Datos_Niveles!P24)</f>
        <v/>
      </c>
      <c r="Q25" s="7">
        <f>LN(Datos_Niveles!Q25)-LN(Datos_Niveles!Q24)</f>
        <v/>
      </c>
    </row>
    <row r="26">
      <c r="A26">
        <f>Datos_Niveles!A26</f>
        <v/>
      </c>
      <c r="B26" s="7">
        <f>LN(Datos_Niveles!B26)-LN(Datos_Niveles!B25)</f>
        <v/>
      </c>
      <c r="C26" s="7">
        <f>LN(Datos_Niveles!C26)-LN(Datos_Niveles!C25)</f>
        <v/>
      </c>
      <c r="D26" s="7">
        <f>LN(Datos_Niveles!D26)-LN(Datos_Niveles!D25)</f>
        <v/>
      </c>
      <c r="E26" s="7">
        <f>LN(Datos_Niveles!E26)-LN(Datos_Niveles!E25)</f>
        <v/>
      </c>
      <c r="F26" s="7">
        <f>LN(Datos_Niveles!F26)-LN(Datos_Niveles!F25)</f>
        <v/>
      </c>
      <c r="G26" s="7">
        <f>LN(Datos_Niveles!G26)-LN(Datos_Niveles!G25)</f>
        <v/>
      </c>
      <c r="H26" s="7">
        <f>LN(Datos_Niveles!H26)-LN(Datos_Niveles!H25)</f>
        <v/>
      </c>
      <c r="I26" s="7">
        <f>Datos_Niveles!I26-Datos_Niveles!I25</f>
        <v/>
      </c>
      <c r="J26" s="7">
        <f>LN(Datos_Niveles!J26)-LN(Datos_Niveles!J25)</f>
        <v/>
      </c>
      <c r="K26" s="7">
        <f>Datos_Niveles!K26-Datos_Niveles!K25</f>
        <v/>
      </c>
      <c r="L26" s="7">
        <f>LN(Datos_Niveles!L26)-LN(Datos_Niveles!L25)</f>
        <v/>
      </c>
      <c r="M26" s="7">
        <f>LN(Datos_Niveles!M26)-LN(Datos_Niveles!M25)</f>
        <v/>
      </c>
      <c r="N26" s="7">
        <f>Datos_Niveles!N26-Datos_Niveles!N25</f>
        <v/>
      </c>
      <c r="O26" s="7">
        <f>Datos_Niveles!O26-Datos_Niveles!O25</f>
        <v/>
      </c>
      <c r="P26" s="7">
        <f>LN(Datos_Niveles!P26)-LN(Datos_Niveles!P25)</f>
        <v/>
      </c>
      <c r="Q26" s="7">
        <f>LN(Datos_Niveles!Q26)-LN(Datos_Niveles!Q25)</f>
        <v/>
      </c>
    </row>
    <row r="27">
      <c r="A27">
        <f>Datos_Niveles!A27</f>
        <v/>
      </c>
      <c r="B27" s="7">
        <f>LN(Datos_Niveles!B27)-LN(Datos_Niveles!B26)</f>
        <v/>
      </c>
      <c r="C27" s="7">
        <f>LN(Datos_Niveles!C27)-LN(Datos_Niveles!C26)</f>
        <v/>
      </c>
      <c r="D27" s="7">
        <f>LN(Datos_Niveles!D27)-LN(Datos_Niveles!D26)</f>
        <v/>
      </c>
      <c r="E27" s="7">
        <f>LN(Datos_Niveles!E27)-LN(Datos_Niveles!E26)</f>
        <v/>
      </c>
      <c r="F27" s="7">
        <f>LN(Datos_Niveles!F27)-LN(Datos_Niveles!F26)</f>
        <v/>
      </c>
      <c r="G27" s="7">
        <f>LN(Datos_Niveles!G27)-LN(Datos_Niveles!G26)</f>
        <v/>
      </c>
      <c r="H27" s="7">
        <f>LN(Datos_Niveles!H27)-LN(Datos_Niveles!H26)</f>
        <v/>
      </c>
      <c r="I27" s="7">
        <f>Datos_Niveles!I27-Datos_Niveles!I26</f>
        <v/>
      </c>
      <c r="J27" s="7">
        <f>LN(Datos_Niveles!J27)-LN(Datos_Niveles!J26)</f>
        <v/>
      </c>
      <c r="K27" s="7">
        <f>Datos_Niveles!K27-Datos_Niveles!K26</f>
        <v/>
      </c>
      <c r="L27" s="7">
        <f>LN(Datos_Niveles!L27)-LN(Datos_Niveles!L26)</f>
        <v/>
      </c>
      <c r="M27" s="7">
        <f>LN(Datos_Niveles!M27)-LN(Datos_Niveles!M26)</f>
        <v/>
      </c>
      <c r="N27" s="7">
        <f>Datos_Niveles!N27-Datos_Niveles!N26</f>
        <v/>
      </c>
      <c r="O27" s="7">
        <f>Datos_Niveles!O27-Datos_Niveles!O26</f>
        <v/>
      </c>
      <c r="P27" s="7">
        <f>LN(Datos_Niveles!P27)-LN(Datos_Niveles!P26)</f>
        <v/>
      </c>
      <c r="Q27" s="7">
        <f>LN(Datos_Niveles!Q27)-LN(Datos_Niveles!Q26)</f>
        <v/>
      </c>
    </row>
    <row r="28">
      <c r="A28">
        <f>Datos_Niveles!A28</f>
        <v/>
      </c>
      <c r="B28" s="7">
        <f>LN(Datos_Niveles!B28)-LN(Datos_Niveles!B27)</f>
        <v/>
      </c>
      <c r="C28" s="7">
        <f>LN(Datos_Niveles!C28)-LN(Datos_Niveles!C27)</f>
        <v/>
      </c>
      <c r="D28" s="7">
        <f>LN(Datos_Niveles!D28)-LN(Datos_Niveles!D27)</f>
        <v/>
      </c>
      <c r="E28" s="7">
        <f>LN(Datos_Niveles!E28)-LN(Datos_Niveles!E27)</f>
        <v/>
      </c>
      <c r="F28" s="7">
        <f>LN(Datos_Niveles!F28)-LN(Datos_Niveles!F27)</f>
        <v/>
      </c>
      <c r="G28" s="7">
        <f>LN(Datos_Niveles!G28)-LN(Datos_Niveles!G27)</f>
        <v/>
      </c>
      <c r="H28" s="7">
        <f>LN(Datos_Niveles!H28)-LN(Datos_Niveles!H27)</f>
        <v/>
      </c>
      <c r="I28" s="7">
        <f>Datos_Niveles!I28-Datos_Niveles!I27</f>
        <v/>
      </c>
      <c r="J28" s="7">
        <f>LN(Datos_Niveles!J28)-LN(Datos_Niveles!J27)</f>
        <v/>
      </c>
      <c r="K28" s="7">
        <f>Datos_Niveles!K28-Datos_Niveles!K27</f>
        <v/>
      </c>
      <c r="L28" s="7">
        <f>LN(Datos_Niveles!L28)-LN(Datos_Niveles!L27)</f>
        <v/>
      </c>
      <c r="M28" s="7">
        <f>LN(Datos_Niveles!M28)-LN(Datos_Niveles!M27)</f>
        <v/>
      </c>
      <c r="N28" s="7">
        <f>Datos_Niveles!N28-Datos_Niveles!N27</f>
        <v/>
      </c>
      <c r="O28" s="7">
        <f>Datos_Niveles!O28-Datos_Niveles!O27</f>
        <v/>
      </c>
      <c r="P28" s="7">
        <f>LN(Datos_Niveles!P28)-LN(Datos_Niveles!P27)</f>
        <v/>
      </c>
      <c r="Q28" s="7">
        <f>LN(Datos_Niveles!Q28)-LN(Datos_Niveles!Q27)</f>
        <v/>
      </c>
    </row>
    <row r="29">
      <c r="A29">
        <f>Datos_Niveles!A29</f>
        <v/>
      </c>
      <c r="B29" s="7">
        <f>LN(Datos_Niveles!B29)-LN(Datos_Niveles!B28)</f>
        <v/>
      </c>
      <c r="C29" s="7">
        <f>LN(Datos_Niveles!C29)-LN(Datos_Niveles!C28)</f>
        <v/>
      </c>
      <c r="D29" s="7">
        <f>LN(Datos_Niveles!D29)-LN(Datos_Niveles!D28)</f>
        <v/>
      </c>
      <c r="E29" s="7">
        <f>LN(Datos_Niveles!E29)-LN(Datos_Niveles!E28)</f>
        <v/>
      </c>
      <c r="F29" s="7">
        <f>LN(Datos_Niveles!F29)-LN(Datos_Niveles!F28)</f>
        <v/>
      </c>
      <c r="G29" s="7">
        <f>LN(Datos_Niveles!G29)-LN(Datos_Niveles!G28)</f>
        <v/>
      </c>
      <c r="H29" s="7">
        <f>LN(Datos_Niveles!H29)-LN(Datos_Niveles!H28)</f>
        <v/>
      </c>
      <c r="I29" s="7">
        <f>Datos_Niveles!I29-Datos_Niveles!I28</f>
        <v/>
      </c>
      <c r="J29" s="7">
        <f>LN(Datos_Niveles!J29)-LN(Datos_Niveles!J28)</f>
        <v/>
      </c>
      <c r="K29" s="7">
        <f>Datos_Niveles!K29-Datos_Niveles!K28</f>
        <v/>
      </c>
      <c r="L29" s="7">
        <f>LN(Datos_Niveles!L29)-LN(Datos_Niveles!L28)</f>
        <v/>
      </c>
      <c r="M29" s="7">
        <f>LN(Datos_Niveles!M29)-LN(Datos_Niveles!M28)</f>
        <v/>
      </c>
      <c r="N29" s="7">
        <f>Datos_Niveles!N29-Datos_Niveles!N28</f>
        <v/>
      </c>
      <c r="O29" s="7">
        <f>Datos_Niveles!O29-Datos_Niveles!O28</f>
        <v/>
      </c>
      <c r="P29" s="7">
        <f>LN(Datos_Niveles!P29)-LN(Datos_Niveles!P28)</f>
        <v/>
      </c>
      <c r="Q29" s="7">
        <f>LN(Datos_Niveles!Q29)-LN(Datos_Niveles!Q28)</f>
        <v/>
      </c>
    </row>
    <row r="30">
      <c r="A30">
        <f>Datos_Niveles!A30</f>
        <v/>
      </c>
      <c r="B30" s="7">
        <f>LN(Datos_Niveles!B30)-LN(Datos_Niveles!B29)</f>
        <v/>
      </c>
      <c r="C30" s="7">
        <f>LN(Datos_Niveles!C30)-LN(Datos_Niveles!C29)</f>
        <v/>
      </c>
      <c r="D30" s="7">
        <f>LN(Datos_Niveles!D30)-LN(Datos_Niveles!D29)</f>
        <v/>
      </c>
      <c r="E30" s="7">
        <f>LN(Datos_Niveles!E30)-LN(Datos_Niveles!E29)</f>
        <v/>
      </c>
      <c r="F30" s="7">
        <f>LN(Datos_Niveles!F30)-LN(Datos_Niveles!F29)</f>
        <v/>
      </c>
      <c r="G30" s="7">
        <f>LN(Datos_Niveles!G30)-LN(Datos_Niveles!G29)</f>
        <v/>
      </c>
      <c r="H30" s="7">
        <f>LN(Datos_Niveles!H30)-LN(Datos_Niveles!H29)</f>
        <v/>
      </c>
      <c r="I30" s="7">
        <f>Datos_Niveles!I30-Datos_Niveles!I29</f>
        <v/>
      </c>
      <c r="J30" s="7">
        <f>LN(Datos_Niveles!J30)-LN(Datos_Niveles!J29)</f>
        <v/>
      </c>
      <c r="K30" s="7">
        <f>Datos_Niveles!K30-Datos_Niveles!K29</f>
        <v/>
      </c>
      <c r="L30" s="7">
        <f>LN(Datos_Niveles!L30)-LN(Datos_Niveles!L29)</f>
        <v/>
      </c>
      <c r="M30" s="7">
        <f>LN(Datos_Niveles!M30)-LN(Datos_Niveles!M29)</f>
        <v/>
      </c>
      <c r="N30" s="7">
        <f>Datos_Niveles!N30-Datos_Niveles!N29</f>
        <v/>
      </c>
      <c r="O30" s="7">
        <f>Datos_Niveles!O30-Datos_Niveles!O29</f>
        <v/>
      </c>
      <c r="P30" s="7">
        <f>LN(Datos_Niveles!P30)-LN(Datos_Niveles!P29)</f>
        <v/>
      </c>
      <c r="Q30" s="7">
        <f>LN(Datos_Niveles!Q30)-LN(Datos_Niveles!Q29)</f>
        <v/>
      </c>
    </row>
    <row r="31">
      <c r="A31">
        <f>Datos_Niveles!A31</f>
        <v/>
      </c>
      <c r="B31" s="7">
        <f>LN(Datos_Niveles!B31)-LN(Datos_Niveles!B30)</f>
        <v/>
      </c>
      <c r="C31" s="7">
        <f>LN(Datos_Niveles!C31)-LN(Datos_Niveles!C30)</f>
        <v/>
      </c>
      <c r="D31" s="7">
        <f>LN(Datos_Niveles!D31)-LN(Datos_Niveles!D30)</f>
        <v/>
      </c>
      <c r="E31" s="7">
        <f>LN(Datos_Niveles!E31)-LN(Datos_Niveles!E30)</f>
        <v/>
      </c>
      <c r="F31" s="7">
        <f>LN(Datos_Niveles!F31)-LN(Datos_Niveles!F30)</f>
        <v/>
      </c>
      <c r="G31" s="7">
        <f>LN(Datos_Niveles!G31)-LN(Datos_Niveles!G30)</f>
        <v/>
      </c>
      <c r="H31" s="7">
        <f>LN(Datos_Niveles!H31)-LN(Datos_Niveles!H30)</f>
        <v/>
      </c>
      <c r="I31" s="7">
        <f>Datos_Niveles!I31-Datos_Niveles!I30</f>
        <v/>
      </c>
      <c r="J31" s="7">
        <f>LN(Datos_Niveles!J31)-LN(Datos_Niveles!J30)</f>
        <v/>
      </c>
      <c r="K31" s="7">
        <f>Datos_Niveles!K31-Datos_Niveles!K30</f>
        <v/>
      </c>
      <c r="L31" s="7">
        <f>LN(Datos_Niveles!L31)-LN(Datos_Niveles!L30)</f>
        <v/>
      </c>
      <c r="M31" s="7">
        <f>LN(Datos_Niveles!M31)-LN(Datos_Niveles!M30)</f>
        <v/>
      </c>
      <c r="N31" s="7">
        <f>Datos_Niveles!N31-Datos_Niveles!N30</f>
        <v/>
      </c>
      <c r="O31" s="7">
        <f>Datos_Niveles!O31-Datos_Niveles!O30</f>
        <v/>
      </c>
      <c r="P31" s="7">
        <f>LN(Datos_Niveles!P31)-LN(Datos_Niveles!P30)</f>
        <v/>
      </c>
      <c r="Q31" s="7">
        <f>LN(Datos_Niveles!Q31)-LN(Datos_Niveles!Q30)</f>
        <v/>
      </c>
    </row>
    <row r="32">
      <c r="A32">
        <f>Datos_Niveles!A32</f>
        <v/>
      </c>
      <c r="B32" s="7">
        <f>LN(Datos_Niveles!B32)-LN(Datos_Niveles!B31)</f>
        <v/>
      </c>
      <c r="C32" s="7">
        <f>LN(Datos_Niveles!C32)-LN(Datos_Niveles!C31)</f>
        <v/>
      </c>
      <c r="D32" s="7">
        <f>LN(Datos_Niveles!D32)-LN(Datos_Niveles!D31)</f>
        <v/>
      </c>
      <c r="E32" s="7">
        <f>LN(Datos_Niveles!E32)-LN(Datos_Niveles!E31)</f>
        <v/>
      </c>
      <c r="F32" s="7">
        <f>LN(Datos_Niveles!F32)-LN(Datos_Niveles!F31)</f>
        <v/>
      </c>
      <c r="G32" s="7">
        <f>LN(Datos_Niveles!G32)-LN(Datos_Niveles!G31)</f>
        <v/>
      </c>
      <c r="H32" s="7">
        <f>LN(Datos_Niveles!H32)-LN(Datos_Niveles!H31)</f>
        <v/>
      </c>
      <c r="I32" s="7">
        <f>Datos_Niveles!I32-Datos_Niveles!I31</f>
        <v/>
      </c>
      <c r="J32" s="7">
        <f>LN(Datos_Niveles!J32)-LN(Datos_Niveles!J31)</f>
        <v/>
      </c>
      <c r="K32" s="7">
        <f>Datos_Niveles!K32-Datos_Niveles!K31</f>
        <v/>
      </c>
      <c r="L32" s="7">
        <f>LN(Datos_Niveles!L32)-LN(Datos_Niveles!L31)</f>
        <v/>
      </c>
      <c r="M32" s="7">
        <f>LN(Datos_Niveles!M32)-LN(Datos_Niveles!M31)</f>
        <v/>
      </c>
      <c r="N32" s="7">
        <f>Datos_Niveles!N32-Datos_Niveles!N31</f>
        <v/>
      </c>
      <c r="O32" s="7">
        <f>Datos_Niveles!O32-Datos_Niveles!O31</f>
        <v/>
      </c>
      <c r="P32" s="7">
        <f>LN(Datos_Niveles!P32)-LN(Datos_Niveles!P31)</f>
        <v/>
      </c>
      <c r="Q32" s="7">
        <f>LN(Datos_Niveles!Q32)-LN(Datos_Niveles!Q31)</f>
        <v/>
      </c>
    </row>
    <row r="33">
      <c r="A33">
        <f>Datos_Niveles!A33</f>
        <v/>
      </c>
      <c r="B33" s="7">
        <f>LN(Datos_Niveles!B33)-LN(Datos_Niveles!B32)</f>
        <v/>
      </c>
      <c r="C33" s="7">
        <f>LN(Datos_Niveles!C33)-LN(Datos_Niveles!C32)</f>
        <v/>
      </c>
      <c r="D33" s="7">
        <f>LN(Datos_Niveles!D33)-LN(Datos_Niveles!D32)</f>
        <v/>
      </c>
      <c r="E33" s="7">
        <f>LN(Datos_Niveles!E33)-LN(Datos_Niveles!E32)</f>
        <v/>
      </c>
      <c r="F33" s="7">
        <f>LN(Datos_Niveles!F33)-LN(Datos_Niveles!F32)</f>
        <v/>
      </c>
      <c r="G33" s="7">
        <f>LN(Datos_Niveles!G33)-LN(Datos_Niveles!G32)</f>
        <v/>
      </c>
      <c r="H33" s="7">
        <f>LN(Datos_Niveles!H33)-LN(Datos_Niveles!H32)</f>
        <v/>
      </c>
      <c r="I33" s="7">
        <f>Datos_Niveles!I33-Datos_Niveles!I32</f>
        <v/>
      </c>
      <c r="J33" s="7">
        <f>LN(Datos_Niveles!J33)-LN(Datos_Niveles!J32)</f>
        <v/>
      </c>
      <c r="K33" s="7">
        <f>Datos_Niveles!K33-Datos_Niveles!K32</f>
        <v/>
      </c>
      <c r="L33" s="7">
        <f>LN(Datos_Niveles!L33)-LN(Datos_Niveles!L32)</f>
        <v/>
      </c>
      <c r="M33" s="7">
        <f>LN(Datos_Niveles!M33)-LN(Datos_Niveles!M32)</f>
        <v/>
      </c>
      <c r="N33" s="7">
        <f>Datos_Niveles!N33-Datos_Niveles!N32</f>
        <v/>
      </c>
      <c r="O33" s="7">
        <f>Datos_Niveles!O33-Datos_Niveles!O32</f>
        <v/>
      </c>
      <c r="P33" s="7">
        <f>LN(Datos_Niveles!P33)-LN(Datos_Niveles!P32)</f>
        <v/>
      </c>
      <c r="Q33" s="7">
        <f>LN(Datos_Niveles!Q33)-LN(Datos_Niveles!Q32)</f>
        <v/>
      </c>
    </row>
    <row r="34">
      <c r="A34">
        <f>Datos_Niveles!A34</f>
        <v/>
      </c>
      <c r="B34" s="7">
        <f>LN(Datos_Niveles!B34)-LN(Datos_Niveles!B33)</f>
        <v/>
      </c>
      <c r="C34" s="7">
        <f>LN(Datos_Niveles!C34)-LN(Datos_Niveles!C33)</f>
        <v/>
      </c>
      <c r="D34" s="7">
        <f>LN(Datos_Niveles!D34)-LN(Datos_Niveles!D33)</f>
        <v/>
      </c>
      <c r="E34" s="7">
        <f>LN(Datos_Niveles!E34)-LN(Datos_Niveles!E33)</f>
        <v/>
      </c>
      <c r="F34" s="7">
        <f>LN(Datos_Niveles!F34)-LN(Datos_Niveles!F33)</f>
        <v/>
      </c>
      <c r="G34" s="7">
        <f>LN(Datos_Niveles!G34)-LN(Datos_Niveles!G33)</f>
        <v/>
      </c>
      <c r="H34" s="7">
        <f>LN(Datos_Niveles!H34)-LN(Datos_Niveles!H33)</f>
        <v/>
      </c>
      <c r="I34" s="7">
        <f>Datos_Niveles!I34-Datos_Niveles!I33</f>
        <v/>
      </c>
      <c r="J34" s="7">
        <f>LN(Datos_Niveles!J34)-LN(Datos_Niveles!J33)</f>
        <v/>
      </c>
      <c r="K34" s="7">
        <f>Datos_Niveles!K34-Datos_Niveles!K33</f>
        <v/>
      </c>
      <c r="L34" s="7">
        <f>LN(Datos_Niveles!L34)-LN(Datos_Niveles!L33)</f>
        <v/>
      </c>
      <c r="M34" s="7">
        <f>LN(Datos_Niveles!M34)-LN(Datos_Niveles!M33)</f>
        <v/>
      </c>
      <c r="N34" s="7">
        <f>Datos_Niveles!N34-Datos_Niveles!N33</f>
        <v/>
      </c>
      <c r="O34" s="7">
        <f>Datos_Niveles!O34-Datos_Niveles!O33</f>
        <v/>
      </c>
      <c r="P34" s="7">
        <f>LN(Datos_Niveles!P34)-LN(Datos_Niveles!P33)</f>
        <v/>
      </c>
      <c r="Q34" s="7">
        <f>LN(Datos_Niveles!Q34)-LN(Datos_Niveles!Q33)</f>
        <v/>
      </c>
    </row>
    <row r="35">
      <c r="A35">
        <f>Datos_Niveles!A35</f>
        <v/>
      </c>
      <c r="B35" s="7">
        <f>LN(Datos_Niveles!B35)-LN(Datos_Niveles!B34)</f>
        <v/>
      </c>
      <c r="C35" s="7">
        <f>LN(Datos_Niveles!C35)-LN(Datos_Niveles!C34)</f>
        <v/>
      </c>
      <c r="D35" s="7">
        <f>LN(Datos_Niveles!D35)-LN(Datos_Niveles!D34)</f>
        <v/>
      </c>
      <c r="E35" s="7">
        <f>LN(Datos_Niveles!E35)-LN(Datos_Niveles!E34)</f>
        <v/>
      </c>
      <c r="F35" s="7">
        <f>LN(Datos_Niveles!F35)-LN(Datos_Niveles!F34)</f>
        <v/>
      </c>
      <c r="G35" s="7">
        <f>LN(Datos_Niveles!G35)-LN(Datos_Niveles!G34)</f>
        <v/>
      </c>
      <c r="H35" s="7">
        <f>LN(Datos_Niveles!H35)-LN(Datos_Niveles!H34)</f>
        <v/>
      </c>
      <c r="I35" s="7">
        <f>Datos_Niveles!I35-Datos_Niveles!I34</f>
        <v/>
      </c>
      <c r="J35" s="7">
        <f>LN(Datos_Niveles!J35)-LN(Datos_Niveles!J34)</f>
        <v/>
      </c>
      <c r="K35" s="7">
        <f>Datos_Niveles!K35-Datos_Niveles!K34</f>
        <v/>
      </c>
      <c r="L35" s="7">
        <f>LN(Datos_Niveles!L35)-LN(Datos_Niveles!L34)</f>
        <v/>
      </c>
      <c r="M35" s="7">
        <f>LN(Datos_Niveles!M35)-LN(Datos_Niveles!M34)</f>
        <v/>
      </c>
      <c r="N35" s="7">
        <f>Datos_Niveles!N35-Datos_Niveles!N34</f>
        <v/>
      </c>
      <c r="O35" s="7">
        <f>Datos_Niveles!O35-Datos_Niveles!O34</f>
        <v/>
      </c>
      <c r="P35" s="7">
        <f>LN(Datos_Niveles!P35)-LN(Datos_Niveles!P34)</f>
        <v/>
      </c>
      <c r="Q35" s="7">
        <f>LN(Datos_Niveles!Q35)-LN(Datos_Niveles!Q34)</f>
        <v/>
      </c>
    </row>
    <row r="36">
      <c r="A36">
        <f>Datos_Niveles!A36</f>
        <v/>
      </c>
      <c r="B36" s="7">
        <f>LN(Datos_Niveles!B36)-LN(Datos_Niveles!B35)</f>
        <v/>
      </c>
      <c r="C36" s="7">
        <f>LN(Datos_Niveles!C36)-LN(Datos_Niveles!C35)</f>
        <v/>
      </c>
      <c r="D36" s="7">
        <f>LN(Datos_Niveles!D36)-LN(Datos_Niveles!D35)</f>
        <v/>
      </c>
      <c r="E36" s="7">
        <f>LN(Datos_Niveles!E36)-LN(Datos_Niveles!E35)</f>
        <v/>
      </c>
      <c r="F36" s="7">
        <f>LN(Datos_Niveles!F36)-LN(Datos_Niveles!F35)</f>
        <v/>
      </c>
      <c r="G36" s="7">
        <f>LN(Datos_Niveles!G36)-LN(Datos_Niveles!G35)</f>
        <v/>
      </c>
      <c r="H36" s="7">
        <f>LN(Datos_Niveles!H36)-LN(Datos_Niveles!H35)</f>
        <v/>
      </c>
      <c r="I36" s="7">
        <f>Datos_Niveles!I36-Datos_Niveles!I35</f>
        <v/>
      </c>
      <c r="J36" s="7">
        <f>LN(Datos_Niveles!J36)-LN(Datos_Niveles!J35)</f>
        <v/>
      </c>
      <c r="K36" s="7">
        <f>Datos_Niveles!K36-Datos_Niveles!K35</f>
        <v/>
      </c>
      <c r="L36" s="7">
        <f>LN(Datos_Niveles!L36)-LN(Datos_Niveles!L35)</f>
        <v/>
      </c>
      <c r="M36" s="7">
        <f>LN(Datos_Niveles!M36)-LN(Datos_Niveles!M35)</f>
        <v/>
      </c>
      <c r="N36" s="7">
        <f>Datos_Niveles!N36-Datos_Niveles!N35</f>
        <v/>
      </c>
      <c r="O36" s="7">
        <f>Datos_Niveles!O36-Datos_Niveles!O35</f>
        <v/>
      </c>
      <c r="P36" s="7">
        <f>LN(Datos_Niveles!P36)-LN(Datos_Niveles!P35)</f>
        <v/>
      </c>
      <c r="Q36" s="7">
        <f>LN(Datos_Niveles!Q36)-LN(Datos_Niveles!Q35)</f>
        <v/>
      </c>
    </row>
    <row r="37">
      <c r="A37">
        <f>Datos_Niveles!A37</f>
        <v/>
      </c>
      <c r="B37" s="7">
        <f>LN(Datos_Niveles!B37)-LN(Datos_Niveles!B36)</f>
        <v/>
      </c>
      <c r="C37" s="7">
        <f>LN(Datos_Niveles!C37)-LN(Datos_Niveles!C36)</f>
        <v/>
      </c>
      <c r="D37" s="7">
        <f>LN(Datos_Niveles!D37)-LN(Datos_Niveles!D36)</f>
        <v/>
      </c>
      <c r="E37" s="7">
        <f>LN(Datos_Niveles!E37)-LN(Datos_Niveles!E36)</f>
        <v/>
      </c>
      <c r="F37" s="7">
        <f>LN(Datos_Niveles!F37)-LN(Datos_Niveles!F36)</f>
        <v/>
      </c>
      <c r="G37" s="7">
        <f>LN(Datos_Niveles!G37)-LN(Datos_Niveles!G36)</f>
        <v/>
      </c>
      <c r="H37" s="7">
        <f>LN(Datos_Niveles!H37)-LN(Datos_Niveles!H36)</f>
        <v/>
      </c>
      <c r="I37" s="7">
        <f>Datos_Niveles!I37-Datos_Niveles!I36</f>
        <v/>
      </c>
      <c r="J37" s="7">
        <f>LN(Datos_Niveles!J37)-LN(Datos_Niveles!J36)</f>
        <v/>
      </c>
      <c r="K37" s="7">
        <f>Datos_Niveles!K37-Datos_Niveles!K36</f>
        <v/>
      </c>
      <c r="L37" s="7">
        <f>LN(Datos_Niveles!L37)-LN(Datos_Niveles!L36)</f>
        <v/>
      </c>
      <c r="M37" s="7">
        <f>LN(Datos_Niveles!M37)-LN(Datos_Niveles!M36)</f>
        <v/>
      </c>
      <c r="N37" s="7">
        <f>Datos_Niveles!N37-Datos_Niveles!N36</f>
        <v/>
      </c>
      <c r="O37" s="7">
        <f>Datos_Niveles!O37-Datos_Niveles!O36</f>
        <v/>
      </c>
      <c r="P37" s="7">
        <f>LN(Datos_Niveles!P37)-LN(Datos_Niveles!P36)</f>
        <v/>
      </c>
      <c r="Q37" s="7">
        <f>LN(Datos_Niveles!Q37)-LN(Datos_Niveles!Q36)</f>
        <v/>
      </c>
    </row>
    <row r="38">
      <c r="A38">
        <f>Datos_Niveles!A38</f>
        <v/>
      </c>
      <c r="B38" s="7">
        <f>LN(Datos_Niveles!B38)-LN(Datos_Niveles!B37)</f>
        <v/>
      </c>
      <c r="C38" s="7">
        <f>LN(Datos_Niveles!C38)-LN(Datos_Niveles!C37)</f>
        <v/>
      </c>
      <c r="D38" s="7">
        <f>LN(Datos_Niveles!D38)-LN(Datos_Niveles!D37)</f>
        <v/>
      </c>
      <c r="E38" s="7">
        <f>LN(Datos_Niveles!E38)-LN(Datos_Niveles!E37)</f>
        <v/>
      </c>
      <c r="F38" s="7">
        <f>LN(Datos_Niveles!F38)-LN(Datos_Niveles!F37)</f>
        <v/>
      </c>
      <c r="G38" s="7">
        <f>LN(Datos_Niveles!G38)-LN(Datos_Niveles!G37)</f>
        <v/>
      </c>
      <c r="H38" s="7">
        <f>LN(Datos_Niveles!H38)-LN(Datos_Niveles!H37)</f>
        <v/>
      </c>
      <c r="I38" s="7">
        <f>Datos_Niveles!I38-Datos_Niveles!I37</f>
        <v/>
      </c>
      <c r="J38" s="7">
        <f>LN(Datos_Niveles!J38)-LN(Datos_Niveles!J37)</f>
        <v/>
      </c>
      <c r="K38" s="7">
        <f>Datos_Niveles!K38-Datos_Niveles!K37</f>
        <v/>
      </c>
      <c r="L38" s="7">
        <f>LN(Datos_Niveles!L38)-LN(Datos_Niveles!L37)</f>
        <v/>
      </c>
      <c r="M38" s="7">
        <f>LN(Datos_Niveles!M38)-LN(Datos_Niveles!M37)</f>
        <v/>
      </c>
      <c r="N38" s="7">
        <f>Datos_Niveles!N38-Datos_Niveles!N37</f>
        <v/>
      </c>
      <c r="O38" s="7">
        <f>Datos_Niveles!O38-Datos_Niveles!O37</f>
        <v/>
      </c>
      <c r="P38" s="7">
        <f>LN(Datos_Niveles!P38)-LN(Datos_Niveles!P37)</f>
        <v/>
      </c>
      <c r="Q38" s="7">
        <f>LN(Datos_Niveles!Q38)-LN(Datos_Niveles!Q37)</f>
        <v/>
      </c>
    </row>
    <row r="39">
      <c r="A39">
        <f>Datos_Niveles!A39</f>
        <v/>
      </c>
      <c r="B39" s="7">
        <f>LN(Datos_Niveles!B39)-LN(Datos_Niveles!B38)</f>
        <v/>
      </c>
      <c r="C39" s="7">
        <f>LN(Datos_Niveles!C39)-LN(Datos_Niveles!C38)</f>
        <v/>
      </c>
      <c r="D39" s="7">
        <f>LN(Datos_Niveles!D39)-LN(Datos_Niveles!D38)</f>
        <v/>
      </c>
      <c r="E39" s="7">
        <f>LN(Datos_Niveles!E39)-LN(Datos_Niveles!E38)</f>
        <v/>
      </c>
      <c r="F39" s="7">
        <f>LN(Datos_Niveles!F39)-LN(Datos_Niveles!F38)</f>
        <v/>
      </c>
      <c r="G39" s="7">
        <f>LN(Datos_Niveles!G39)-LN(Datos_Niveles!G38)</f>
        <v/>
      </c>
      <c r="H39" s="7">
        <f>LN(Datos_Niveles!H39)-LN(Datos_Niveles!H38)</f>
        <v/>
      </c>
      <c r="I39" s="7">
        <f>Datos_Niveles!I39-Datos_Niveles!I38</f>
        <v/>
      </c>
      <c r="J39" s="7">
        <f>LN(Datos_Niveles!J39)-LN(Datos_Niveles!J38)</f>
        <v/>
      </c>
      <c r="K39" s="7">
        <f>Datos_Niveles!K39-Datos_Niveles!K38</f>
        <v/>
      </c>
      <c r="L39" s="7">
        <f>LN(Datos_Niveles!L39)-LN(Datos_Niveles!L38)</f>
        <v/>
      </c>
      <c r="M39" s="7">
        <f>LN(Datos_Niveles!M39)-LN(Datos_Niveles!M38)</f>
        <v/>
      </c>
      <c r="N39" s="7">
        <f>Datos_Niveles!N39-Datos_Niveles!N38</f>
        <v/>
      </c>
      <c r="O39" s="7">
        <f>Datos_Niveles!O39-Datos_Niveles!O38</f>
        <v/>
      </c>
      <c r="P39" s="7">
        <f>LN(Datos_Niveles!P39)-LN(Datos_Niveles!P38)</f>
        <v/>
      </c>
      <c r="Q39" s="7">
        <f>LN(Datos_Niveles!Q39)-LN(Datos_Niveles!Q38)</f>
        <v/>
      </c>
    </row>
    <row r="40">
      <c r="A40">
        <f>Datos_Niveles!A40</f>
        <v/>
      </c>
      <c r="B40" s="7">
        <f>LN(Datos_Niveles!B40)-LN(Datos_Niveles!B39)</f>
        <v/>
      </c>
      <c r="C40" s="7">
        <f>LN(Datos_Niveles!C40)-LN(Datos_Niveles!C39)</f>
        <v/>
      </c>
      <c r="D40" s="7">
        <f>LN(Datos_Niveles!D40)-LN(Datos_Niveles!D39)</f>
        <v/>
      </c>
      <c r="E40" s="7">
        <f>LN(Datos_Niveles!E40)-LN(Datos_Niveles!E39)</f>
        <v/>
      </c>
      <c r="F40" s="7">
        <f>LN(Datos_Niveles!F40)-LN(Datos_Niveles!F39)</f>
        <v/>
      </c>
      <c r="G40" s="7">
        <f>LN(Datos_Niveles!G40)-LN(Datos_Niveles!G39)</f>
        <v/>
      </c>
      <c r="H40" s="7">
        <f>LN(Datos_Niveles!H40)-LN(Datos_Niveles!H39)</f>
        <v/>
      </c>
      <c r="I40" s="7">
        <f>Datos_Niveles!I40-Datos_Niveles!I39</f>
        <v/>
      </c>
      <c r="J40" s="7">
        <f>LN(Datos_Niveles!J40)-LN(Datos_Niveles!J39)</f>
        <v/>
      </c>
      <c r="K40" s="7">
        <f>Datos_Niveles!K40-Datos_Niveles!K39</f>
        <v/>
      </c>
      <c r="L40" s="7">
        <f>LN(Datos_Niveles!L40)-LN(Datos_Niveles!L39)</f>
        <v/>
      </c>
      <c r="M40" s="7">
        <f>LN(Datos_Niveles!M40)-LN(Datos_Niveles!M39)</f>
        <v/>
      </c>
      <c r="N40" s="7">
        <f>Datos_Niveles!N40-Datos_Niveles!N39</f>
        <v/>
      </c>
      <c r="O40" s="7">
        <f>Datos_Niveles!O40-Datos_Niveles!O39</f>
        <v/>
      </c>
      <c r="P40" s="7">
        <f>LN(Datos_Niveles!P40)-LN(Datos_Niveles!P39)</f>
        <v/>
      </c>
      <c r="Q40" s="7">
        <f>LN(Datos_Niveles!Q40)-LN(Datos_Niveles!Q39)</f>
        <v/>
      </c>
    </row>
    <row r="41">
      <c r="A41">
        <f>Datos_Niveles!A41</f>
        <v/>
      </c>
      <c r="B41" s="7">
        <f>LN(Datos_Niveles!B41)-LN(Datos_Niveles!B40)</f>
        <v/>
      </c>
      <c r="C41" s="7">
        <f>LN(Datos_Niveles!C41)-LN(Datos_Niveles!C40)</f>
        <v/>
      </c>
      <c r="D41" s="7">
        <f>LN(Datos_Niveles!D41)-LN(Datos_Niveles!D40)</f>
        <v/>
      </c>
      <c r="E41" s="7">
        <f>LN(Datos_Niveles!E41)-LN(Datos_Niveles!E40)</f>
        <v/>
      </c>
      <c r="F41" s="7">
        <f>LN(Datos_Niveles!F41)-LN(Datos_Niveles!F40)</f>
        <v/>
      </c>
      <c r="G41" s="7">
        <f>LN(Datos_Niveles!G41)-LN(Datos_Niveles!G40)</f>
        <v/>
      </c>
      <c r="H41" s="7">
        <f>LN(Datos_Niveles!H41)-LN(Datos_Niveles!H40)</f>
        <v/>
      </c>
      <c r="I41" s="7">
        <f>Datos_Niveles!I41-Datos_Niveles!I40</f>
        <v/>
      </c>
      <c r="J41" s="7">
        <f>LN(Datos_Niveles!J41)-LN(Datos_Niveles!J40)</f>
        <v/>
      </c>
      <c r="K41" s="7">
        <f>Datos_Niveles!K41-Datos_Niveles!K40</f>
        <v/>
      </c>
      <c r="L41" s="7">
        <f>LN(Datos_Niveles!L41)-LN(Datos_Niveles!L40)</f>
        <v/>
      </c>
      <c r="M41" s="7">
        <f>LN(Datos_Niveles!M41)-LN(Datos_Niveles!M40)</f>
        <v/>
      </c>
      <c r="N41" s="7">
        <f>Datos_Niveles!N41-Datos_Niveles!N40</f>
        <v/>
      </c>
      <c r="O41" s="7">
        <f>Datos_Niveles!O41-Datos_Niveles!O40</f>
        <v/>
      </c>
      <c r="P41" s="7">
        <f>LN(Datos_Niveles!P41)-LN(Datos_Niveles!P40)</f>
        <v/>
      </c>
      <c r="Q41" s="7">
        <f>LN(Datos_Niveles!Q41)-LN(Datos_Niveles!Q40)</f>
        <v/>
      </c>
    </row>
    <row r="42">
      <c r="A42">
        <f>Datos_Niveles!A42</f>
        <v/>
      </c>
      <c r="B42" s="7">
        <f>LN(Datos_Niveles!B42)-LN(Datos_Niveles!B41)</f>
        <v/>
      </c>
      <c r="C42" s="7">
        <f>LN(Datos_Niveles!C42)-LN(Datos_Niveles!C41)</f>
        <v/>
      </c>
      <c r="D42" s="7">
        <f>LN(Datos_Niveles!D42)-LN(Datos_Niveles!D41)</f>
        <v/>
      </c>
      <c r="E42" s="7">
        <f>LN(Datos_Niveles!E42)-LN(Datos_Niveles!E41)</f>
        <v/>
      </c>
      <c r="F42" s="7">
        <f>LN(Datos_Niveles!F42)-LN(Datos_Niveles!F41)</f>
        <v/>
      </c>
      <c r="G42" s="7">
        <f>LN(Datos_Niveles!G42)-LN(Datos_Niveles!G41)</f>
        <v/>
      </c>
      <c r="H42" s="7">
        <f>LN(Datos_Niveles!H42)-LN(Datos_Niveles!H41)</f>
        <v/>
      </c>
      <c r="I42" s="7">
        <f>Datos_Niveles!I42-Datos_Niveles!I41</f>
        <v/>
      </c>
      <c r="J42" s="7">
        <f>LN(Datos_Niveles!J42)-LN(Datos_Niveles!J41)</f>
        <v/>
      </c>
      <c r="K42" s="7">
        <f>Datos_Niveles!K42-Datos_Niveles!K41</f>
        <v/>
      </c>
      <c r="L42" s="7">
        <f>LN(Datos_Niveles!L42)-LN(Datos_Niveles!L41)</f>
        <v/>
      </c>
      <c r="M42" s="7">
        <f>LN(Datos_Niveles!M42)-LN(Datos_Niveles!M41)</f>
        <v/>
      </c>
      <c r="N42" s="7">
        <f>Datos_Niveles!N42-Datos_Niveles!N41</f>
        <v/>
      </c>
      <c r="O42" s="7">
        <f>Datos_Niveles!O42-Datos_Niveles!O41</f>
        <v/>
      </c>
      <c r="P42" s="7">
        <f>LN(Datos_Niveles!P42)-LN(Datos_Niveles!P41)</f>
        <v/>
      </c>
      <c r="Q42" s="7">
        <f>LN(Datos_Niveles!Q42)-LN(Datos_Niveles!Q41)</f>
        <v/>
      </c>
    </row>
    <row r="43">
      <c r="A43">
        <f>Datos_Niveles!A43</f>
        <v/>
      </c>
      <c r="B43" s="7">
        <f>LN(Datos_Niveles!B43)-LN(Datos_Niveles!B42)</f>
        <v/>
      </c>
      <c r="C43" s="7">
        <f>LN(Datos_Niveles!C43)-LN(Datos_Niveles!C42)</f>
        <v/>
      </c>
      <c r="D43" s="7">
        <f>LN(Datos_Niveles!D43)-LN(Datos_Niveles!D42)</f>
        <v/>
      </c>
      <c r="E43" s="7">
        <f>LN(Datos_Niveles!E43)-LN(Datos_Niveles!E42)</f>
        <v/>
      </c>
      <c r="F43" s="7">
        <f>LN(Datos_Niveles!F43)-LN(Datos_Niveles!F42)</f>
        <v/>
      </c>
      <c r="G43" s="7">
        <f>LN(Datos_Niveles!G43)-LN(Datos_Niveles!G42)</f>
        <v/>
      </c>
      <c r="H43" s="7">
        <f>LN(Datos_Niveles!H43)-LN(Datos_Niveles!H42)</f>
        <v/>
      </c>
      <c r="I43" s="7">
        <f>Datos_Niveles!I43-Datos_Niveles!I42</f>
        <v/>
      </c>
      <c r="J43" s="7">
        <f>LN(Datos_Niveles!J43)-LN(Datos_Niveles!J42)</f>
        <v/>
      </c>
      <c r="K43" s="7">
        <f>Datos_Niveles!K43-Datos_Niveles!K42</f>
        <v/>
      </c>
      <c r="L43" s="7">
        <f>LN(Datos_Niveles!L43)-LN(Datos_Niveles!L42)</f>
        <v/>
      </c>
      <c r="M43" s="7">
        <f>LN(Datos_Niveles!M43)-LN(Datos_Niveles!M42)</f>
        <v/>
      </c>
      <c r="N43" s="7">
        <f>Datos_Niveles!N43-Datos_Niveles!N42</f>
        <v/>
      </c>
      <c r="O43" s="7">
        <f>Datos_Niveles!O43-Datos_Niveles!O42</f>
        <v/>
      </c>
      <c r="P43" s="7">
        <f>LN(Datos_Niveles!P43)-LN(Datos_Niveles!P42)</f>
        <v/>
      </c>
      <c r="Q43" s="7">
        <f>LN(Datos_Niveles!Q43)-LN(Datos_Niveles!Q42)</f>
        <v/>
      </c>
    </row>
    <row r="44">
      <c r="A44">
        <f>Datos_Niveles!A44</f>
        <v/>
      </c>
      <c r="B44" s="7">
        <f>LN(Datos_Niveles!B44)-LN(Datos_Niveles!B43)</f>
        <v/>
      </c>
      <c r="C44" s="7">
        <f>LN(Datos_Niveles!C44)-LN(Datos_Niveles!C43)</f>
        <v/>
      </c>
      <c r="D44" s="7">
        <f>LN(Datos_Niveles!D44)-LN(Datos_Niveles!D43)</f>
        <v/>
      </c>
      <c r="E44" s="7">
        <f>LN(Datos_Niveles!E44)-LN(Datos_Niveles!E43)</f>
        <v/>
      </c>
      <c r="F44" s="7">
        <f>LN(Datos_Niveles!F44)-LN(Datos_Niveles!F43)</f>
        <v/>
      </c>
      <c r="G44" s="7">
        <f>LN(Datos_Niveles!G44)-LN(Datos_Niveles!G43)</f>
        <v/>
      </c>
      <c r="H44" s="7">
        <f>LN(Datos_Niveles!H44)-LN(Datos_Niveles!H43)</f>
        <v/>
      </c>
      <c r="I44" s="7">
        <f>Datos_Niveles!I44-Datos_Niveles!I43</f>
        <v/>
      </c>
      <c r="J44" s="7">
        <f>LN(Datos_Niveles!J44)-LN(Datos_Niveles!J43)</f>
        <v/>
      </c>
      <c r="K44" s="7">
        <f>Datos_Niveles!K44-Datos_Niveles!K43</f>
        <v/>
      </c>
      <c r="L44" s="7">
        <f>LN(Datos_Niveles!L44)-LN(Datos_Niveles!L43)</f>
        <v/>
      </c>
      <c r="M44" s="7">
        <f>LN(Datos_Niveles!M44)-LN(Datos_Niveles!M43)</f>
        <v/>
      </c>
      <c r="N44" s="7">
        <f>Datos_Niveles!N44-Datos_Niveles!N43</f>
        <v/>
      </c>
      <c r="O44" s="7">
        <f>Datos_Niveles!O44-Datos_Niveles!O43</f>
        <v/>
      </c>
      <c r="P44" s="7">
        <f>LN(Datos_Niveles!P44)-LN(Datos_Niveles!P43)</f>
        <v/>
      </c>
      <c r="Q44" s="7">
        <f>LN(Datos_Niveles!Q44)-LN(Datos_Niveles!Q43)</f>
        <v/>
      </c>
    </row>
    <row r="45">
      <c r="A45">
        <f>Datos_Niveles!A45</f>
        <v/>
      </c>
      <c r="B45" s="7">
        <f>LN(Datos_Niveles!B45)-LN(Datos_Niveles!B44)</f>
        <v/>
      </c>
      <c r="C45" s="7">
        <f>LN(Datos_Niveles!C45)-LN(Datos_Niveles!C44)</f>
        <v/>
      </c>
      <c r="D45" s="7">
        <f>LN(Datos_Niveles!D45)-LN(Datos_Niveles!D44)</f>
        <v/>
      </c>
      <c r="E45" s="7">
        <f>LN(Datos_Niveles!E45)-LN(Datos_Niveles!E44)</f>
        <v/>
      </c>
      <c r="F45" s="7">
        <f>LN(Datos_Niveles!F45)-LN(Datos_Niveles!F44)</f>
        <v/>
      </c>
      <c r="G45" s="7">
        <f>LN(Datos_Niveles!G45)-LN(Datos_Niveles!G44)</f>
        <v/>
      </c>
      <c r="H45" s="7">
        <f>LN(Datos_Niveles!H45)-LN(Datos_Niveles!H44)</f>
        <v/>
      </c>
      <c r="I45" s="7">
        <f>Datos_Niveles!I45-Datos_Niveles!I44</f>
        <v/>
      </c>
      <c r="J45" s="7">
        <f>LN(Datos_Niveles!J45)-LN(Datos_Niveles!J44)</f>
        <v/>
      </c>
      <c r="K45" s="7">
        <f>Datos_Niveles!K45-Datos_Niveles!K44</f>
        <v/>
      </c>
      <c r="L45" s="7">
        <f>LN(Datos_Niveles!L45)-LN(Datos_Niveles!L44)</f>
        <v/>
      </c>
      <c r="M45" s="7">
        <f>LN(Datos_Niveles!M45)-LN(Datos_Niveles!M44)</f>
        <v/>
      </c>
      <c r="N45" s="7">
        <f>Datos_Niveles!N45-Datos_Niveles!N44</f>
        <v/>
      </c>
      <c r="O45" s="7">
        <f>Datos_Niveles!O45-Datos_Niveles!O44</f>
        <v/>
      </c>
      <c r="P45" s="7">
        <f>LN(Datos_Niveles!P45)-LN(Datos_Niveles!P44)</f>
        <v/>
      </c>
      <c r="Q45" s="7">
        <f>LN(Datos_Niveles!Q45)-LN(Datos_Niveles!Q44)</f>
        <v/>
      </c>
    </row>
    <row r="46">
      <c r="A46">
        <f>Datos_Niveles!A46</f>
        <v/>
      </c>
      <c r="B46" s="7">
        <f>LN(Datos_Niveles!B46)-LN(Datos_Niveles!B45)</f>
        <v/>
      </c>
      <c r="C46" s="7">
        <f>LN(Datos_Niveles!C46)-LN(Datos_Niveles!C45)</f>
        <v/>
      </c>
      <c r="D46" s="7">
        <f>LN(Datos_Niveles!D46)-LN(Datos_Niveles!D45)</f>
        <v/>
      </c>
      <c r="E46" s="7">
        <f>LN(Datos_Niveles!E46)-LN(Datos_Niveles!E45)</f>
        <v/>
      </c>
      <c r="F46" s="7">
        <f>LN(Datos_Niveles!F46)-LN(Datos_Niveles!F45)</f>
        <v/>
      </c>
      <c r="G46" s="7">
        <f>LN(Datos_Niveles!G46)-LN(Datos_Niveles!G45)</f>
        <v/>
      </c>
      <c r="H46" s="7">
        <f>LN(Datos_Niveles!H46)-LN(Datos_Niveles!H45)</f>
        <v/>
      </c>
      <c r="I46" s="7">
        <f>Datos_Niveles!I46-Datos_Niveles!I45</f>
        <v/>
      </c>
      <c r="J46" s="7">
        <f>LN(Datos_Niveles!J46)-LN(Datos_Niveles!J45)</f>
        <v/>
      </c>
      <c r="K46" s="7">
        <f>Datos_Niveles!K46-Datos_Niveles!K45</f>
        <v/>
      </c>
      <c r="L46" s="7">
        <f>LN(Datos_Niveles!L46)-LN(Datos_Niveles!L45)</f>
        <v/>
      </c>
      <c r="M46" s="7">
        <f>LN(Datos_Niveles!M46)-LN(Datos_Niveles!M45)</f>
        <v/>
      </c>
      <c r="N46" s="7">
        <f>Datos_Niveles!N46-Datos_Niveles!N45</f>
        <v/>
      </c>
      <c r="O46" s="7">
        <f>Datos_Niveles!O46-Datos_Niveles!O45</f>
        <v/>
      </c>
      <c r="P46" s="7">
        <f>LN(Datos_Niveles!P46)-LN(Datos_Niveles!P45)</f>
        <v/>
      </c>
      <c r="Q46" s="7">
        <f>LN(Datos_Niveles!Q46)-LN(Datos_Niveles!Q45)</f>
        <v/>
      </c>
    </row>
    <row r="47">
      <c r="A47">
        <f>Datos_Niveles!A47</f>
        <v/>
      </c>
      <c r="B47" s="7">
        <f>LN(Datos_Niveles!B47)-LN(Datos_Niveles!B46)</f>
        <v/>
      </c>
      <c r="C47" s="7">
        <f>LN(Datos_Niveles!C47)-LN(Datos_Niveles!C46)</f>
        <v/>
      </c>
      <c r="D47" s="7">
        <f>LN(Datos_Niveles!D47)-LN(Datos_Niveles!D46)</f>
        <v/>
      </c>
      <c r="E47" s="7">
        <f>LN(Datos_Niveles!E47)-LN(Datos_Niveles!E46)</f>
        <v/>
      </c>
      <c r="F47" s="7">
        <f>LN(Datos_Niveles!F47)-LN(Datos_Niveles!F46)</f>
        <v/>
      </c>
      <c r="G47" s="7">
        <f>LN(Datos_Niveles!G47)-LN(Datos_Niveles!G46)</f>
        <v/>
      </c>
      <c r="H47" s="7">
        <f>LN(Datos_Niveles!H47)-LN(Datos_Niveles!H46)</f>
        <v/>
      </c>
      <c r="I47" s="7">
        <f>Datos_Niveles!I47-Datos_Niveles!I46</f>
        <v/>
      </c>
      <c r="J47" s="7">
        <f>LN(Datos_Niveles!J47)-LN(Datos_Niveles!J46)</f>
        <v/>
      </c>
      <c r="K47" s="7">
        <f>Datos_Niveles!K47-Datos_Niveles!K46</f>
        <v/>
      </c>
      <c r="L47" s="7">
        <f>LN(Datos_Niveles!L47)-LN(Datos_Niveles!L46)</f>
        <v/>
      </c>
      <c r="M47" s="7">
        <f>LN(Datos_Niveles!M47)-LN(Datos_Niveles!M46)</f>
        <v/>
      </c>
      <c r="N47" s="7">
        <f>Datos_Niveles!N47-Datos_Niveles!N46</f>
        <v/>
      </c>
      <c r="O47" s="7">
        <f>Datos_Niveles!O47-Datos_Niveles!O46</f>
        <v/>
      </c>
      <c r="P47" s="7">
        <f>LN(Datos_Niveles!P47)-LN(Datos_Niveles!P46)</f>
        <v/>
      </c>
      <c r="Q47" s="7">
        <f>LN(Datos_Niveles!Q47)-LN(Datos_Niveles!Q46)</f>
        <v/>
      </c>
    </row>
    <row r="48">
      <c r="A48">
        <f>Datos_Niveles!A48</f>
        <v/>
      </c>
      <c r="B48" s="7">
        <f>LN(Datos_Niveles!B48)-LN(Datos_Niveles!B47)</f>
        <v/>
      </c>
      <c r="C48" s="7">
        <f>LN(Datos_Niveles!C48)-LN(Datos_Niveles!C47)</f>
        <v/>
      </c>
      <c r="D48" s="7">
        <f>LN(Datos_Niveles!D48)-LN(Datos_Niveles!D47)</f>
        <v/>
      </c>
      <c r="E48" s="7">
        <f>LN(Datos_Niveles!E48)-LN(Datos_Niveles!E47)</f>
        <v/>
      </c>
      <c r="F48" s="7">
        <f>LN(Datos_Niveles!F48)-LN(Datos_Niveles!F47)</f>
        <v/>
      </c>
      <c r="G48" s="7">
        <f>LN(Datos_Niveles!G48)-LN(Datos_Niveles!G47)</f>
        <v/>
      </c>
      <c r="H48" s="7">
        <f>LN(Datos_Niveles!H48)-LN(Datos_Niveles!H47)</f>
        <v/>
      </c>
      <c r="I48" s="7">
        <f>Datos_Niveles!I48-Datos_Niveles!I47</f>
        <v/>
      </c>
      <c r="J48" s="7">
        <f>LN(Datos_Niveles!J48)-LN(Datos_Niveles!J47)</f>
        <v/>
      </c>
      <c r="K48" s="7">
        <f>Datos_Niveles!K48-Datos_Niveles!K47</f>
        <v/>
      </c>
      <c r="L48" s="7">
        <f>LN(Datos_Niveles!L48)-LN(Datos_Niveles!L47)</f>
        <v/>
      </c>
      <c r="M48" s="7">
        <f>LN(Datos_Niveles!M48)-LN(Datos_Niveles!M47)</f>
        <v/>
      </c>
      <c r="N48" s="7">
        <f>Datos_Niveles!N48-Datos_Niveles!N47</f>
        <v/>
      </c>
      <c r="O48" s="7">
        <f>Datos_Niveles!O48-Datos_Niveles!O47</f>
        <v/>
      </c>
      <c r="P48" s="7">
        <f>LN(Datos_Niveles!P48)-LN(Datos_Niveles!P47)</f>
        <v/>
      </c>
      <c r="Q48" s="7">
        <f>LN(Datos_Niveles!Q48)-LN(Datos_Niveles!Q47)</f>
        <v/>
      </c>
    </row>
    <row r="49">
      <c r="A49">
        <f>Datos_Niveles!A49</f>
        <v/>
      </c>
      <c r="B49" s="7">
        <f>LN(Datos_Niveles!B49)-LN(Datos_Niveles!B48)</f>
        <v/>
      </c>
      <c r="C49" s="7">
        <f>LN(Datos_Niveles!C49)-LN(Datos_Niveles!C48)</f>
        <v/>
      </c>
      <c r="D49" s="7">
        <f>LN(Datos_Niveles!D49)-LN(Datos_Niveles!D48)</f>
        <v/>
      </c>
      <c r="E49" s="7">
        <f>LN(Datos_Niveles!E49)-LN(Datos_Niveles!E48)</f>
        <v/>
      </c>
      <c r="F49" s="7">
        <f>LN(Datos_Niveles!F49)-LN(Datos_Niveles!F48)</f>
        <v/>
      </c>
      <c r="G49" s="7">
        <f>LN(Datos_Niveles!G49)-LN(Datos_Niveles!G48)</f>
        <v/>
      </c>
      <c r="H49" s="7">
        <f>LN(Datos_Niveles!H49)-LN(Datos_Niveles!H48)</f>
        <v/>
      </c>
      <c r="I49" s="7">
        <f>Datos_Niveles!I49-Datos_Niveles!I48</f>
        <v/>
      </c>
      <c r="J49" s="7">
        <f>LN(Datos_Niveles!J49)-LN(Datos_Niveles!J48)</f>
        <v/>
      </c>
      <c r="K49" s="7">
        <f>Datos_Niveles!K49-Datos_Niveles!K48</f>
        <v/>
      </c>
      <c r="L49" s="7">
        <f>LN(Datos_Niveles!L49)-LN(Datos_Niveles!L48)</f>
        <v/>
      </c>
      <c r="M49" s="7">
        <f>LN(Datos_Niveles!M49)-LN(Datos_Niveles!M48)</f>
        <v/>
      </c>
      <c r="N49" s="7">
        <f>Datos_Niveles!N49-Datos_Niveles!N48</f>
        <v/>
      </c>
      <c r="O49" s="7">
        <f>Datos_Niveles!O49-Datos_Niveles!O48</f>
        <v/>
      </c>
      <c r="P49" s="7">
        <f>LN(Datos_Niveles!P49)-LN(Datos_Niveles!P48)</f>
        <v/>
      </c>
      <c r="Q49" s="7">
        <f>LN(Datos_Niveles!Q49)-LN(Datos_Niveles!Q48)</f>
        <v/>
      </c>
    </row>
    <row r="50">
      <c r="A50">
        <f>Datos_Niveles!A50</f>
        <v/>
      </c>
      <c r="B50" s="7">
        <f>LN(Datos_Niveles!B50)-LN(Datos_Niveles!B49)</f>
        <v/>
      </c>
      <c r="C50" s="7">
        <f>LN(Datos_Niveles!C50)-LN(Datos_Niveles!C49)</f>
        <v/>
      </c>
      <c r="D50" s="7">
        <f>LN(Datos_Niveles!D50)-LN(Datos_Niveles!D49)</f>
        <v/>
      </c>
      <c r="E50" s="7">
        <f>LN(Datos_Niveles!E50)-LN(Datos_Niveles!E49)</f>
        <v/>
      </c>
      <c r="F50" s="7">
        <f>LN(Datos_Niveles!F50)-LN(Datos_Niveles!F49)</f>
        <v/>
      </c>
      <c r="G50" s="7">
        <f>LN(Datos_Niveles!G50)-LN(Datos_Niveles!G49)</f>
        <v/>
      </c>
      <c r="H50" s="7">
        <f>LN(Datos_Niveles!H50)-LN(Datos_Niveles!H49)</f>
        <v/>
      </c>
      <c r="I50" s="7">
        <f>Datos_Niveles!I50-Datos_Niveles!I49</f>
        <v/>
      </c>
      <c r="J50" s="7">
        <f>LN(Datos_Niveles!J50)-LN(Datos_Niveles!J49)</f>
        <v/>
      </c>
      <c r="K50" s="7">
        <f>Datos_Niveles!K50-Datos_Niveles!K49</f>
        <v/>
      </c>
      <c r="L50" s="7">
        <f>LN(Datos_Niveles!L50)-LN(Datos_Niveles!L49)</f>
        <v/>
      </c>
      <c r="M50" s="7">
        <f>LN(Datos_Niveles!M50)-LN(Datos_Niveles!M49)</f>
        <v/>
      </c>
      <c r="N50" s="7">
        <f>Datos_Niveles!N50-Datos_Niveles!N49</f>
        <v/>
      </c>
      <c r="O50" s="7">
        <f>Datos_Niveles!O50-Datos_Niveles!O49</f>
        <v/>
      </c>
      <c r="P50" s="7">
        <f>LN(Datos_Niveles!P50)-LN(Datos_Niveles!P49)</f>
        <v/>
      </c>
      <c r="Q50" s="7">
        <f>LN(Datos_Niveles!Q50)-LN(Datos_Niveles!Q49)</f>
        <v/>
      </c>
    </row>
    <row r="51">
      <c r="A51">
        <f>Datos_Niveles!A51</f>
        <v/>
      </c>
      <c r="B51" s="7">
        <f>LN(Datos_Niveles!B51)-LN(Datos_Niveles!B50)</f>
        <v/>
      </c>
      <c r="C51" s="7">
        <f>LN(Datos_Niveles!C51)-LN(Datos_Niveles!C50)</f>
        <v/>
      </c>
      <c r="D51" s="7">
        <f>LN(Datos_Niveles!D51)-LN(Datos_Niveles!D50)</f>
        <v/>
      </c>
      <c r="E51" s="7">
        <f>LN(Datos_Niveles!E51)-LN(Datos_Niveles!E50)</f>
        <v/>
      </c>
      <c r="F51" s="7">
        <f>LN(Datos_Niveles!F51)-LN(Datos_Niveles!F50)</f>
        <v/>
      </c>
      <c r="G51" s="7">
        <f>LN(Datos_Niveles!G51)-LN(Datos_Niveles!G50)</f>
        <v/>
      </c>
      <c r="H51" s="7">
        <f>LN(Datos_Niveles!H51)-LN(Datos_Niveles!H50)</f>
        <v/>
      </c>
      <c r="I51" s="7">
        <f>Datos_Niveles!I51-Datos_Niveles!I50</f>
        <v/>
      </c>
      <c r="J51" s="7">
        <f>LN(Datos_Niveles!J51)-LN(Datos_Niveles!J50)</f>
        <v/>
      </c>
      <c r="K51" s="7">
        <f>Datos_Niveles!K51-Datos_Niveles!K50</f>
        <v/>
      </c>
      <c r="L51" s="7">
        <f>LN(Datos_Niveles!L51)-LN(Datos_Niveles!L50)</f>
        <v/>
      </c>
      <c r="M51" s="7">
        <f>LN(Datos_Niveles!M51)-LN(Datos_Niveles!M50)</f>
        <v/>
      </c>
      <c r="N51" s="7">
        <f>Datos_Niveles!N51-Datos_Niveles!N50</f>
        <v/>
      </c>
      <c r="O51" s="7">
        <f>Datos_Niveles!O51-Datos_Niveles!O50</f>
        <v/>
      </c>
      <c r="P51" s="7">
        <f>LN(Datos_Niveles!P51)-LN(Datos_Niveles!P50)</f>
        <v/>
      </c>
      <c r="Q51" s="7">
        <f>LN(Datos_Niveles!Q51)-LN(Datos_Niveles!Q50)</f>
        <v/>
      </c>
    </row>
    <row r="52">
      <c r="A52">
        <f>Datos_Niveles!A52</f>
        <v/>
      </c>
      <c r="B52" s="7">
        <f>LN(Datos_Niveles!B52)-LN(Datos_Niveles!B51)</f>
        <v/>
      </c>
      <c r="C52" s="7">
        <f>LN(Datos_Niveles!C52)-LN(Datos_Niveles!C51)</f>
        <v/>
      </c>
      <c r="D52" s="7">
        <f>LN(Datos_Niveles!D52)-LN(Datos_Niveles!D51)</f>
        <v/>
      </c>
      <c r="E52" s="7">
        <f>LN(Datos_Niveles!E52)-LN(Datos_Niveles!E51)</f>
        <v/>
      </c>
      <c r="F52" s="7">
        <f>LN(Datos_Niveles!F52)-LN(Datos_Niveles!F51)</f>
        <v/>
      </c>
      <c r="G52" s="7">
        <f>LN(Datos_Niveles!G52)-LN(Datos_Niveles!G51)</f>
        <v/>
      </c>
      <c r="H52" s="7">
        <f>LN(Datos_Niveles!H52)-LN(Datos_Niveles!H51)</f>
        <v/>
      </c>
      <c r="I52" s="7">
        <f>Datos_Niveles!I52-Datos_Niveles!I51</f>
        <v/>
      </c>
      <c r="J52" s="7">
        <f>LN(Datos_Niveles!J52)-LN(Datos_Niveles!J51)</f>
        <v/>
      </c>
      <c r="K52" s="7">
        <f>Datos_Niveles!K52-Datos_Niveles!K51</f>
        <v/>
      </c>
      <c r="L52" s="7">
        <f>LN(Datos_Niveles!L52)-LN(Datos_Niveles!L51)</f>
        <v/>
      </c>
      <c r="M52" s="7">
        <f>LN(Datos_Niveles!M52)-LN(Datos_Niveles!M51)</f>
        <v/>
      </c>
      <c r="N52" s="7">
        <f>Datos_Niveles!N52-Datos_Niveles!N51</f>
        <v/>
      </c>
      <c r="O52" s="7">
        <f>Datos_Niveles!O52-Datos_Niveles!O51</f>
        <v/>
      </c>
      <c r="P52" s="7">
        <f>LN(Datos_Niveles!P52)-LN(Datos_Niveles!P51)</f>
        <v/>
      </c>
      <c r="Q52" s="7">
        <f>LN(Datos_Niveles!Q52)-LN(Datos_Niveles!Q51)</f>
        <v/>
      </c>
    </row>
    <row r="53">
      <c r="A53">
        <f>Datos_Niveles!A53</f>
        <v/>
      </c>
      <c r="B53" s="7">
        <f>LN(Datos_Niveles!B53)-LN(Datos_Niveles!B52)</f>
        <v/>
      </c>
      <c r="C53" s="7">
        <f>LN(Datos_Niveles!C53)-LN(Datos_Niveles!C52)</f>
        <v/>
      </c>
      <c r="D53" s="7">
        <f>LN(Datos_Niveles!D53)-LN(Datos_Niveles!D52)</f>
        <v/>
      </c>
      <c r="E53" s="7">
        <f>LN(Datos_Niveles!E53)-LN(Datos_Niveles!E52)</f>
        <v/>
      </c>
      <c r="F53" s="7">
        <f>LN(Datos_Niveles!F53)-LN(Datos_Niveles!F52)</f>
        <v/>
      </c>
      <c r="G53" s="7">
        <f>LN(Datos_Niveles!G53)-LN(Datos_Niveles!G52)</f>
        <v/>
      </c>
      <c r="H53" s="7">
        <f>LN(Datos_Niveles!H53)-LN(Datos_Niveles!H52)</f>
        <v/>
      </c>
      <c r="I53" s="7">
        <f>Datos_Niveles!I53-Datos_Niveles!I52</f>
        <v/>
      </c>
      <c r="J53" s="7">
        <f>LN(Datos_Niveles!J53)-LN(Datos_Niveles!J52)</f>
        <v/>
      </c>
      <c r="K53" s="7">
        <f>Datos_Niveles!K53-Datos_Niveles!K52</f>
        <v/>
      </c>
      <c r="L53" s="7">
        <f>LN(Datos_Niveles!L53)-LN(Datos_Niveles!L52)</f>
        <v/>
      </c>
      <c r="M53" s="7">
        <f>LN(Datos_Niveles!M53)-LN(Datos_Niveles!M52)</f>
        <v/>
      </c>
      <c r="N53" s="7">
        <f>Datos_Niveles!N53-Datos_Niveles!N52</f>
        <v/>
      </c>
      <c r="O53" s="7">
        <f>Datos_Niveles!O53-Datos_Niveles!O52</f>
        <v/>
      </c>
      <c r="P53" s="7">
        <f>LN(Datos_Niveles!P53)-LN(Datos_Niveles!P52)</f>
        <v/>
      </c>
      <c r="Q53" s="7">
        <f>LN(Datos_Niveles!Q53)-LN(Datos_Niveles!Q52)</f>
        <v/>
      </c>
    </row>
    <row r="54">
      <c r="A54">
        <f>Datos_Niveles!A54</f>
        <v/>
      </c>
      <c r="B54" s="7">
        <f>LN(Datos_Niveles!B54)-LN(Datos_Niveles!B53)</f>
        <v/>
      </c>
      <c r="C54" s="7">
        <f>LN(Datos_Niveles!C54)-LN(Datos_Niveles!C53)</f>
        <v/>
      </c>
      <c r="D54" s="7">
        <f>LN(Datos_Niveles!D54)-LN(Datos_Niveles!D53)</f>
        <v/>
      </c>
      <c r="E54" s="7">
        <f>LN(Datos_Niveles!E54)-LN(Datos_Niveles!E53)</f>
        <v/>
      </c>
      <c r="F54" s="7">
        <f>LN(Datos_Niveles!F54)-LN(Datos_Niveles!F53)</f>
        <v/>
      </c>
      <c r="G54" s="7">
        <f>LN(Datos_Niveles!G54)-LN(Datos_Niveles!G53)</f>
        <v/>
      </c>
      <c r="H54" s="7">
        <f>LN(Datos_Niveles!H54)-LN(Datos_Niveles!H53)</f>
        <v/>
      </c>
      <c r="I54" s="7">
        <f>Datos_Niveles!I54-Datos_Niveles!I53</f>
        <v/>
      </c>
      <c r="J54" s="7">
        <f>LN(Datos_Niveles!J54)-LN(Datos_Niveles!J53)</f>
        <v/>
      </c>
      <c r="K54" s="7">
        <f>Datos_Niveles!K54-Datos_Niveles!K53</f>
        <v/>
      </c>
      <c r="L54" s="7">
        <f>LN(Datos_Niveles!L54)-LN(Datos_Niveles!L53)</f>
        <v/>
      </c>
      <c r="M54" s="7">
        <f>LN(Datos_Niveles!M54)-LN(Datos_Niveles!M53)</f>
        <v/>
      </c>
      <c r="N54" s="7">
        <f>Datos_Niveles!N54-Datos_Niveles!N53</f>
        <v/>
      </c>
      <c r="O54" s="7">
        <f>Datos_Niveles!O54-Datos_Niveles!O53</f>
        <v/>
      </c>
      <c r="P54" s="7">
        <f>LN(Datos_Niveles!P54)-LN(Datos_Niveles!P53)</f>
        <v/>
      </c>
      <c r="Q54" s="7">
        <f>LN(Datos_Niveles!Q54)-LN(Datos_Niveles!Q53)</f>
        <v/>
      </c>
    </row>
    <row r="55">
      <c r="A55">
        <f>Datos_Niveles!A55</f>
        <v/>
      </c>
      <c r="B55" s="7">
        <f>LN(Datos_Niveles!B55)-LN(Datos_Niveles!B54)</f>
        <v/>
      </c>
      <c r="C55" s="7">
        <f>LN(Datos_Niveles!C55)-LN(Datos_Niveles!C54)</f>
        <v/>
      </c>
      <c r="D55" s="7">
        <f>LN(Datos_Niveles!D55)-LN(Datos_Niveles!D54)</f>
        <v/>
      </c>
      <c r="E55" s="7">
        <f>LN(Datos_Niveles!E55)-LN(Datos_Niveles!E54)</f>
        <v/>
      </c>
      <c r="F55" s="7">
        <f>LN(Datos_Niveles!F55)-LN(Datos_Niveles!F54)</f>
        <v/>
      </c>
      <c r="G55" s="7">
        <f>LN(Datos_Niveles!G55)-LN(Datos_Niveles!G54)</f>
        <v/>
      </c>
      <c r="H55" s="7">
        <f>LN(Datos_Niveles!H55)-LN(Datos_Niveles!H54)</f>
        <v/>
      </c>
      <c r="I55" s="7">
        <f>Datos_Niveles!I55-Datos_Niveles!I54</f>
        <v/>
      </c>
      <c r="J55" s="7">
        <f>LN(Datos_Niveles!J55)-LN(Datos_Niveles!J54)</f>
        <v/>
      </c>
      <c r="K55" s="7">
        <f>Datos_Niveles!K55-Datos_Niveles!K54</f>
        <v/>
      </c>
      <c r="L55" s="7">
        <f>LN(Datos_Niveles!L55)-LN(Datos_Niveles!L54)</f>
        <v/>
      </c>
      <c r="M55" s="7">
        <f>LN(Datos_Niveles!M55)-LN(Datos_Niveles!M54)</f>
        <v/>
      </c>
      <c r="N55" s="7">
        <f>Datos_Niveles!N55-Datos_Niveles!N54</f>
        <v/>
      </c>
      <c r="O55" s="7">
        <f>Datos_Niveles!O55-Datos_Niveles!O54</f>
        <v/>
      </c>
      <c r="P55" s="7">
        <f>LN(Datos_Niveles!P55)-LN(Datos_Niveles!P54)</f>
        <v/>
      </c>
      <c r="Q55" s="7">
        <f>LN(Datos_Niveles!Q55)-LN(Datos_Niveles!Q54)</f>
        <v/>
      </c>
    </row>
    <row r="56">
      <c r="A56">
        <f>Datos_Niveles!A56</f>
        <v/>
      </c>
      <c r="B56" s="7">
        <f>LN(Datos_Niveles!B56)-LN(Datos_Niveles!B55)</f>
        <v/>
      </c>
      <c r="C56" s="7">
        <f>LN(Datos_Niveles!C56)-LN(Datos_Niveles!C55)</f>
        <v/>
      </c>
      <c r="D56" s="7">
        <f>LN(Datos_Niveles!D56)-LN(Datos_Niveles!D55)</f>
        <v/>
      </c>
      <c r="E56" s="7">
        <f>LN(Datos_Niveles!E56)-LN(Datos_Niveles!E55)</f>
        <v/>
      </c>
      <c r="F56" s="7">
        <f>LN(Datos_Niveles!F56)-LN(Datos_Niveles!F55)</f>
        <v/>
      </c>
      <c r="G56" s="7">
        <f>LN(Datos_Niveles!G56)-LN(Datos_Niveles!G55)</f>
        <v/>
      </c>
      <c r="H56" s="7">
        <f>LN(Datos_Niveles!H56)-LN(Datos_Niveles!H55)</f>
        <v/>
      </c>
      <c r="I56" s="7">
        <f>Datos_Niveles!I56-Datos_Niveles!I55</f>
        <v/>
      </c>
      <c r="J56" s="7">
        <f>LN(Datos_Niveles!J56)-LN(Datos_Niveles!J55)</f>
        <v/>
      </c>
      <c r="K56" s="7">
        <f>Datos_Niveles!K56-Datos_Niveles!K55</f>
        <v/>
      </c>
      <c r="L56" s="7">
        <f>LN(Datos_Niveles!L56)-LN(Datos_Niveles!L55)</f>
        <v/>
      </c>
      <c r="M56" s="7">
        <f>LN(Datos_Niveles!M56)-LN(Datos_Niveles!M55)</f>
        <v/>
      </c>
      <c r="N56" s="7">
        <f>Datos_Niveles!N56-Datos_Niveles!N55</f>
        <v/>
      </c>
      <c r="O56" s="7">
        <f>Datos_Niveles!O56-Datos_Niveles!O55</f>
        <v/>
      </c>
      <c r="P56" s="7">
        <f>LN(Datos_Niveles!P56)-LN(Datos_Niveles!P55)</f>
        <v/>
      </c>
      <c r="Q56" s="7">
        <f>LN(Datos_Niveles!Q56)-LN(Datos_Niveles!Q55)</f>
        <v/>
      </c>
    </row>
    <row r="57">
      <c r="A57">
        <f>Datos_Niveles!A57</f>
        <v/>
      </c>
      <c r="B57" s="7">
        <f>LN(Datos_Niveles!B57)-LN(Datos_Niveles!B56)</f>
        <v/>
      </c>
      <c r="C57" s="7">
        <f>LN(Datos_Niveles!C57)-LN(Datos_Niveles!C56)</f>
        <v/>
      </c>
      <c r="D57" s="7">
        <f>LN(Datos_Niveles!D57)-LN(Datos_Niveles!D56)</f>
        <v/>
      </c>
      <c r="E57" s="7">
        <f>LN(Datos_Niveles!E57)-LN(Datos_Niveles!E56)</f>
        <v/>
      </c>
      <c r="F57" s="7">
        <f>LN(Datos_Niveles!F57)-LN(Datos_Niveles!F56)</f>
        <v/>
      </c>
      <c r="G57" s="7">
        <f>LN(Datos_Niveles!G57)-LN(Datos_Niveles!G56)</f>
        <v/>
      </c>
      <c r="H57" s="7">
        <f>LN(Datos_Niveles!H57)-LN(Datos_Niveles!H56)</f>
        <v/>
      </c>
      <c r="I57" s="7">
        <f>Datos_Niveles!I57-Datos_Niveles!I56</f>
        <v/>
      </c>
      <c r="J57" s="7">
        <f>LN(Datos_Niveles!J57)-LN(Datos_Niveles!J56)</f>
        <v/>
      </c>
      <c r="K57" s="7">
        <f>Datos_Niveles!K57-Datos_Niveles!K56</f>
        <v/>
      </c>
      <c r="L57" s="7">
        <f>LN(Datos_Niveles!L57)-LN(Datos_Niveles!L56)</f>
        <v/>
      </c>
      <c r="M57" s="7">
        <f>LN(Datos_Niveles!M57)-LN(Datos_Niveles!M56)</f>
        <v/>
      </c>
      <c r="N57" s="7">
        <f>Datos_Niveles!N57-Datos_Niveles!N56</f>
        <v/>
      </c>
      <c r="O57" s="7">
        <f>Datos_Niveles!O57-Datos_Niveles!O56</f>
        <v/>
      </c>
      <c r="P57" s="7">
        <f>LN(Datos_Niveles!P57)-LN(Datos_Niveles!P56)</f>
        <v/>
      </c>
      <c r="Q57" s="7">
        <f>LN(Datos_Niveles!Q57)-LN(Datos_Niveles!Q56)</f>
        <v/>
      </c>
    </row>
    <row r="58">
      <c r="A58">
        <f>Datos_Niveles!A58</f>
        <v/>
      </c>
      <c r="B58" s="7">
        <f>LN(Datos_Niveles!B58)-LN(Datos_Niveles!B57)</f>
        <v/>
      </c>
      <c r="C58" s="7">
        <f>LN(Datos_Niveles!C58)-LN(Datos_Niveles!C57)</f>
        <v/>
      </c>
      <c r="D58" s="7">
        <f>LN(Datos_Niveles!D58)-LN(Datos_Niveles!D57)</f>
        <v/>
      </c>
      <c r="E58" s="7">
        <f>LN(Datos_Niveles!E58)-LN(Datos_Niveles!E57)</f>
        <v/>
      </c>
      <c r="F58" s="7">
        <f>LN(Datos_Niveles!F58)-LN(Datos_Niveles!F57)</f>
        <v/>
      </c>
      <c r="G58" s="7">
        <f>LN(Datos_Niveles!G58)-LN(Datos_Niveles!G57)</f>
        <v/>
      </c>
      <c r="H58" s="7">
        <f>LN(Datos_Niveles!H58)-LN(Datos_Niveles!H57)</f>
        <v/>
      </c>
      <c r="I58" s="7">
        <f>Datos_Niveles!I58-Datos_Niveles!I57</f>
        <v/>
      </c>
      <c r="J58" s="7">
        <f>LN(Datos_Niveles!J58)-LN(Datos_Niveles!J57)</f>
        <v/>
      </c>
      <c r="K58" s="7">
        <f>Datos_Niveles!K58-Datos_Niveles!K57</f>
        <v/>
      </c>
      <c r="L58" s="7">
        <f>LN(Datos_Niveles!L58)-LN(Datos_Niveles!L57)</f>
        <v/>
      </c>
      <c r="M58" s="7">
        <f>LN(Datos_Niveles!M58)-LN(Datos_Niveles!M57)</f>
        <v/>
      </c>
      <c r="N58" s="7">
        <f>Datos_Niveles!N58-Datos_Niveles!N57</f>
        <v/>
      </c>
      <c r="O58" s="7">
        <f>Datos_Niveles!O58-Datos_Niveles!O57</f>
        <v/>
      </c>
      <c r="P58" s="7">
        <f>LN(Datos_Niveles!P58)-LN(Datos_Niveles!P57)</f>
        <v/>
      </c>
      <c r="Q58" s="7">
        <f>LN(Datos_Niveles!Q58)-LN(Datos_Niveles!Q57)</f>
        <v/>
      </c>
    </row>
    <row r="59">
      <c r="A59">
        <f>Datos_Niveles!A59</f>
        <v/>
      </c>
      <c r="B59" s="7">
        <f>LN(Datos_Niveles!B59)-LN(Datos_Niveles!B58)</f>
        <v/>
      </c>
      <c r="C59" s="7">
        <f>LN(Datos_Niveles!C59)-LN(Datos_Niveles!C58)</f>
        <v/>
      </c>
      <c r="D59" s="7">
        <f>LN(Datos_Niveles!D59)-LN(Datos_Niveles!D58)</f>
        <v/>
      </c>
      <c r="E59" s="7">
        <f>LN(Datos_Niveles!E59)-LN(Datos_Niveles!E58)</f>
        <v/>
      </c>
      <c r="F59" s="7">
        <f>LN(Datos_Niveles!F59)-LN(Datos_Niveles!F58)</f>
        <v/>
      </c>
      <c r="G59" s="7">
        <f>LN(Datos_Niveles!G59)-LN(Datos_Niveles!G58)</f>
        <v/>
      </c>
      <c r="H59" s="7">
        <f>LN(Datos_Niveles!H59)-LN(Datos_Niveles!H58)</f>
        <v/>
      </c>
      <c r="I59" s="7">
        <f>Datos_Niveles!I59-Datos_Niveles!I58</f>
        <v/>
      </c>
      <c r="J59" s="7">
        <f>LN(Datos_Niveles!J59)-LN(Datos_Niveles!J58)</f>
        <v/>
      </c>
      <c r="K59" s="7">
        <f>Datos_Niveles!K59-Datos_Niveles!K58</f>
        <v/>
      </c>
      <c r="L59" s="7">
        <f>LN(Datos_Niveles!L59)-LN(Datos_Niveles!L58)</f>
        <v/>
      </c>
      <c r="M59" s="7">
        <f>LN(Datos_Niveles!M59)-LN(Datos_Niveles!M58)</f>
        <v/>
      </c>
      <c r="N59" s="7">
        <f>Datos_Niveles!N59-Datos_Niveles!N58</f>
        <v/>
      </c>
      <c r="O59" s="7">
        <f>Datos_Niveles!O59-Datos_Niveles!O58</f>
        <v/>
      </c>
      <c r="P59" s="7">
        <f>LN(Datos_Niveles!P59)-LN(Datos_Niveles!P58)</f>
        <v/>
      </c>
      <c r="Q59" s="7">
        <f>LN(Datos_Niveles!Q59)-LN(Datos_Niveles!Q58)</f>
        <v/>
      </c>
    </row>
    <row r="60">
      <c r="A60">
        <f>Datos_Niveles!A60</f>
        <v/>
      </c>
      <c r="B60" s="7">
        <f>LN(Datos_Niveles!B60)-LN(Datos_Niveles!B59)</f>
        <v/>
      </c>
      <c r="C60" s="7">
        <f>LN(Datos_Niveles!C60)-LN(Datos_Niveles!C59)</f>
        <v/>
      </c>
      <c r="D60" s="7">
        <f>LN(Datos_Niveles!D60)-LN(Datos_Niveles!D59)</f>
        <v/>
      </c>
      <c r="E60" s="7">
        <f>LN(Datos_Niveles!E60)-LN(Datos_Niveles!E59)</f>
        <v/>
      </c>
      <c r="F60" s="7">
        <f>LN(Datos_Niveles!F60)-LN(Datos_Niveles!F59)</f>
        <v/>
      </c>
      <c r="G60" s="7">
        <f>LN(Datos_Niveles!G60)-LN(Datos_Niveles!G59)</f>
        <v/>
      </c>
      <c r="H60" s="7">
        <f>LN(Datos_Niveles!H60)-LN(Datos_Niveles!H59)</f>
        <v/>
      </c>
      <c r="I60" s="7">
        <f>Datos_Niveles!I60-Datos_Niveles!I59</f>
        <v/>
      </c>
      <c r="J60" s="7">
        <f>LN(Datos_Niveles!J60)-LN(Datos_Niveles!J59)</f>
        <v/>
      </c>
      <c r="K60" s="7">
        <f>Datos_Niveles!K60-Datos_Niveles!K59</f>
        <v/>
      </c>
      <c r="L60" s="7">
        <f>LN(Datos_Niveles!L60)-LN(Datos_Niveles!L59)</f>
        <v/>
      </c>
      <c r="M60" s="7">
        <f>LN(Datos_Niveles!M60)-LN(Datos_Niveles!M59)</f>
        <v/>
      </c>
      <c r="N60" s="7">
        <f>Datos_Niveles!N60-Datos_Niveles!N59</f>
        <v/>
      </c>
      <c r="O60" s="7">
        <f>Datos_Niveles!O60-Datos_Niveles!O59</f>
        <v/>
      </c>
      <c r="P60" s="7">
        <f>LN(Datos_Niveles!P60)-LN(Datos_Niveles!P59)</f>
        <v/>
      </c>
      <c r="Q60" s="7">
        <f>LN(Datos_Niveles!Q60)-LN(Datos_Niveles!Q59)</f>
        <v/>
      </c>
    </row>
    <row r="61">
      <c r="A61">
        <f>Datos_Niveles!A61</f>
        <v/>
      </c>
      <c r="B61" s="7">
        <f>LN(Datos_Niveles!B61)-LN(Datos_Niveles!B60)</f>
        <v/>
      </c>
      <c r="C61" s="7">
        <f>LN(Datos_Niveles!C61)-LN(Datos_Niveles!C60)</f>
        <v/>
      </c>
      <c r="D61" s="7">
        <f>LN(Datos_Niveles!D61)-LN(Datos_Niveles!D60)</f>
        <v/>
      </c>
      <c r="E61" s="7">
        <f>LN(Datos_Niveles!E61)-LN(Datos_Niveles!E60)</f>
        <v/>
      </c>
      <c r="F61" s="7">
        <f>LN(Datos_Niveles!F61)-LN(Datos_Niveles!F60)</f>
        <v/>
      </c>
      <c r="G61" s="7">
        <f>LN(Datos_Niveles!G61)-LN(Datos_Niveles!G60)</f>
        <v/>
      </c>
      <c r="H61" s="7">
        <f>LN(Datos_Niveles!H61)-LN(Datos_Niveles!H60)</f>
        <v/>
      </c>
      <c r="I61" s="7">
        <f>Datos_Niveles!I61-Datos_Niveles!I60</f>
        <v/>
      </c>
      <c r="J61" s="7">
        <f>LN(Datos_Niveles!J61)-LN(Datos_Niveles!J60)</f>
        <v/>
      </c>
      <c r="K61" s="7">
        <f>Datos_Niveles!K61-Datos_Niveles!K60</f>
        <v/>
      </c>
      <c r="L61" s="7">
        <f>LN(Datos_Niveles!L61)-LN(Datos_Niveles!L60)</f>
        <v/>
      </c>
      <c r="M61" s="7">
        <f>LN(Datos_Niveles!M61)-LN(Datos_Niveles!M60)</f>
        <v/>
      </c>
      <c r="N61" s="7">
        <f>Datos_Niveles!N61-Datos_Niveles!N60</f>
        <v/>
      </c>
      <c r="O61" s="7">
        <f>Datos_Niveles!O61-Datos_Niveles!O60</f>
        <v/>
      </c>
      <c r="P61" s="7">
        <f>LN(Datos_Niveles!P61)-LN(Datos_Niveles!P60)</f>
        <v/>
      </c>
      <c r="Q61" s="7">
        <f>LN(Datos_Niveles!Q61)-LN(Datos_Niveles!Q60)</f>
        <v/>
      </c>
    </row>
    <row r="62">
      <c r="A62">
        <f>Datos_Niveles!A62</f>
        <v/>
      </c>
      <c r="B62" s="7">
        <f>LN(Datos_Niveles!B62)-LN(Datos_Niveles!B61)</f>
        <v/>
      </c>
      <c r="C62" s="7">
        <f>LN(Datos_Niveles!C62)-LN(Datos_Niveles!C61)</f>
        <v/>
      </c>
      <c r="D62" s="7">
        <f>LN(Datos_Niveles!D62)-LN(Datos_Niveles!D61)</f>
        <v/>
      </c>
      <c r="E62" s="7">
        <f>LN(Datos_Niveles!E62)-LN(Datos_Niveles!E61)</f>
        <v/>
      </c>
      <c r="F62" s="7">
        <f>LN(Datos_Niveles!F62)-LN(Datos_Niveles!F61)</f>
        <v/>
      </c>
      <c r="G62" s="7">
        <f>LN(Datos_Niveles!G62)-LN(Datos_Niveles!G61)</f>
        <v/>
      </c>
      <c r="H62" s="7">
        <f>LN(Datos_Niveles!H62)-LN(Datos_Niveles!H61)</f>
        <v/>
      </c>
      <c r="I62" s="7">
        <f>Datos_Niveles!I62-Datos_Niveles!I61</f>
        <v/>
      </c>
      <c r="J62" s="7">
        <f>LN(Datos_Niveles!J62)-LN(Datos_Niveles!J61)</f>
        <v/>
      </c>
      <c r="K62" s="7">
        <f>Datos_Niveles!K62-Datos_Niveles!K61</f>
        <v/>
      </c>
      <c r="L62" s="7">
        <f>LN(Datos_Niveles!L62)-LN(Datos_Niveles!L61)</f>
        <v/>
      </c>
      <c r="M62" s="7">
        <f>LN(Datos_Niveles!M62)-LN(Datos_Niveles!M61)</f>
        <v/>
      </c>
      <c r="N62" s="7">
        <f>Datos_Niveles!N62-Datos_Niveles!N61</f>
        <v/>
      </c>
      <c r="O62" s="7">
        <f>Datos_Niveles!O62-Datos_Niveles!O61</f>
        <v/>
      </c>
      <c r="P62" s="7">
        <f>LN(Datos_Niveles!P62)-LN(Datos_Niveles!P61)</f>
        <v/>
      </c>
      <c r="Q62" s="7">
        <f>LN(Datos_Niveles!Q62)-LN(Datos_Niveles!Q61)</f>
        <v/>
      </c>
    </row>
    <row r="63">
      <c r="A63">
        <f>Datos_Niveles!A63</f>
        <v/>
      </c>
      <c r="B63" s="7">
        <f>LN(Datos_Niveles!B63)-LN(Datos_Niveles!B62)</f>
        <v/>
      </c>
      <c r="C63" s="7">
        <f>LN(Datos_Niveles!C63)-LN(Datos_Niveles!C62)</f>
        <v/>
      </c>
      <c r="D63" s="7">
        <f>LN(Datos_Niveles!D63)-LN(Datos_Niveles!D62)</f>
        <v/>
      </c>
      <c r="E63" s="7">
        <f>LN(Datos_Niveles!E63)-LN(Datos_Niveles!E62)</f>
        <v/>
      </c>
      <c r="F63" s="7">
        <f>LN(Datos_Niveles!F63)-LN(Datos_Niveles!F62)</f>
        <v/>
      </c>
      <c r="G63" s="7">
        <f>LN(Datos_Niveles!G63)-LN(Datos_Niveles!G62)</f>
        <v/>
      </c>
      <c r="H63" s="7">
        <f>LN(Datos_Niveles!H63)-LN(Datos_Niveles!H62)</f>
        <v/>
      </c>
      <c r="I63" s="7">
        <f>Datos_Niveles!I63-Datos_Niveles!I62</f>
        <v/>
      </c>
      <c r="J63" s="7">
        <f>LN(Datos_Niveles!J63)-LN(Datos_Niveles!J62)</f>
        <v/>
      </c>
      <c r="K63" s="7">
        <f>Datos_Niveles!K63-Datos_Niveles!K62</f>
        <v/>
      </c>
      <c r="L63" s="7">
        <f>LN(Datos_Niveles!L63)-LN(Datos_Niveles!L62)</f>
        <v/>
      </c>
      <c r="M63" s="7">
        <f>LN(Datos_Niveles!M63)-LN(Datos_Niveles!M62)</f>
        <v/>
      </c>
      <c r="N63" s="7">
        <f>Datos_Niveles!N63-Datos_Niveles!N62</f>
        <v/>
      </c>
      <c r="O63" s="7">
        <f>Datos_Niveles!O63-Datos_Niveles!O62</f>
        <v/>
      </c>
      <c r="P63" s="7">
        <f>LN(Datos_Niveles!P63)-LN(Datos_Niveles!P62)</f>
        <v/>
      </c>
      <c r="Q63" s="7">
        <f>LN(Datos_Niveles!Q63)-LN(Datos_Niveles!Q62)</f>
        <v/>
      </c>
    </row>
    <row r="64">
      <c r="A64">
        <f>Datos_Niveles!A64</f>
        <v/>
      </c>
      <c r="B64" s="7">
        <f>LN(Datos_Niveles!B64)-LN(Datos_Niveles!B63)</f>
        <v/>
      </c>
      <c r="C64" s="7">
        <f>LN(Datos_Niveles!C64)-LN(Datos_Niveles!C63)</f>
        <v/>
      </c>
      <c r="D64" s="7">
        <f>LN(Datos_Niveles!D64)-LN(Datos_Niveles!D63)</f>
        <v/>
      </c>
      <c r="E64" s="7">
        <f>LN(Datos_Niveles!E64)-LN(Datos_Niveles!E63)</f>
        <v/>
      </c>
      <c r="F64" s="7">
        <f>LN(Datos_Niveles!F64)-LN(Datos_Niveles!F63)</f>
        <v/>
      </c>
      <c r="G64" s="7">
        <f>LN(Datos_Niveles!G64)-LN(Datos_Niveles!G63)</f>
        <v/>
      </c>
      <c r="H64" s="7">
        <f>LN(Datos_Niveles!H64)-LN(Datos_Niveles!H63)</f>
        <v/>
      </c>
      <c r="I64" s="7">
        <f>Datos_Niveles!I64-Datos_Niveles!I63</f>
        <v/>
      </c>
      <c r="J64" s="7">
        <f>LN(Datos_Niveles!J64)-LN(Datos_Niveles!J63)</f>
        <v/>
      </c>
      <c r="K64" s="7">
        <f>Datos_Niveles!K64-Datos_Niveles!K63</f>
        <v/>
      </c>
      <c r="L64" s="7">
        <f>LN(Datos_Niveles!L64)-LN(Datos_Niveles!L63)</f>
        <v/>
      </c>
      <c r="M64" s="7">
        <f>LN(Datos_Niveles!M64)-LN(Datos_Niveles!M63)</f>
        <v/>
      </c>
      <c r="N64" s="7">
        <f>Datos_Niveles!N64-Datos_Niveles!N63</f>
        <v/>
      </c>
      <c r="O64" s="7">
        <f>Datos_Niveles!O64-Datos_Niveles!O63</f>
        <v/>
      </c>
      <c r="P64" s="7">
        <f>LN(Datos_Niveles!P64)-LN(Datos_Niveles!P63)</f>
        <v/>
      </c>
      <c r="Q64" s="7">
        <f>LN(Datos_Niveles!Q64)-LN(Datos_Niveles!Q63)</f>
        <v/>
      </c>
    </row>
    <row r="65">
      <c r="A65">
        <f>Datos_Niveles!A65</f>
        <v/>
      </c>
      <c r="B65" s="7">
        <f>LN(Datos_Niveles!B65)-LN(Datos_Niveles!B64)</f>
        <v/>
      </c>
      <c r="C65" s="7">
        <f>LN(Datos_Niveles!C65)-LN(Datos_Niveles!C64)</f>
        <v/>
      </c>
      <c r="D65" s="7">
        <f>LN(Datos_Niveles!D65)-LN(Datos_Niveles!D64)</f>
        <v/>
      </c>
      <c r="E65" s="7">
        <f>LN(Datos_Niveles!E65)-LN(Datos_Niveles!E64)</f>
        <v/>
      </c>
      <c r="F65" s="7">
        <f>LN(Datos_Niveles!F65)-LN(Datos_Niveles!F64)</f>
        <v/>
      </c>
      <c r="G65" s="7">
        <f>LN(Datos_Niveles!G65)-LN(Datos_Niveles!G64)</f>
        <v/>
      </c>
      <c r="H65" s="7">
        <f>LN(Datos_Niveles!H65)-LN(Datos_Niveles!H64)</f>
        <v/>
      </c>
      <c r="I65" s="7">
        <f>Datos_Niveles!I65-Datos_Niveles!I64</f>
        <v/>
      </c>
      <c r="J65" s="7">
        <f>LN(Datos_Niveles!J65)-LN(Datos_Niveles!J64)</f>
        <v/>
      </c>
      <c r="K65" s="7">
        <f>Datos_Niveles!K65-Datos_Niveles!K64</f>
        <v/>
      </c>
      <c r="L65" s="7">
        <f>LN(Datos_Niveles!L65)-LN(Datos_Niveles!L64)</f>
        <v/>
      </c>
      <c r="M65" s="7">
        <f>LN(Datos_Niveles!M65)-LN(Datos_Niveles!M64)</f>
        <v/>
      </c>
      <c r="N65" s="7">
        <f>Datos_Niveles!N65-Datos_Niveles!N64</f>
        <v/>
      </c>
      <c r="O65" s="7">
        <f>Datos_Niveles!O65-Datos_Niveles!O64</f>
        <v/>
      </c>
      <c r="P65" s="7">
        <f>LN(Datos_Niveles!P65)-LN(Datos_Niveles!P64)</f>
        <v/>
      </c>
      <c r="Q65" s="7">
        <f>LN(Datos_Niveles!Q65)-LN(Datos_Niveles!Q64)</f>
        <v/>
      </c>
    </row>
    <row r="66">
      <c r="A66">
        <f>Datos_Niveles!A66</f>
        <v/>
      </c>
      <c r="B66" s="7">
        <f>LN(Datos_Niveles!B66)-LN(Datos_Niveles!B65)</f>
        <v/>
      </c>
      <c r="C66" s="7">
        <f>LN(Datos_Niveles!C66)-LN(Datos_Niveles!C65)</f>
        <v/>
      </c>
      <c r="D66" s="7">
        <f>LN(Datos_Niveles!D66)-LN(Datos_Niveles!D65)</f>
        <v/>
      </c>
      <c r="E66" s="7">
        <f>LN(Datos_Niveles!E66)-LN(Datos_Niveles!E65)</f>
        <v/>
      </c>
      <c r="F66" s="7">
        <f>LN(Datos_Niveles!F66)-LN(Datos_Niveles!F65)</f>
        <v/>
      </c>
      <c r="G66" s="7">
        <f>LN(Datos_Niveles!G66)-LN(Datos_Niveles!G65)</f>
        <v/>
      </c>
      <c r="H66" s="7">
        <f>LN(Datos_Niveles!H66)-LN(Datos_Niveles!H65)</f>
        <v/>
      </c>
      <c r="I66" s="7">
        <f>Datos_Niveles!I66-Datos_Niveles!I65</f>
        <v/>
      </c>
      <c r="J66" s="7">
        <f>LN(Datos_Niveles!J66)-LN(Datos_Niveles!J65)</f>
        <v/>
      </c>
      <c r="K66" s="7">
        <f>Datos_Niveles!K66-Datos_Niveles!K65</f>
        <v/>
      </c>
      <c r="L66" s="7">
        <f>LN(Datos_Niveles!L66)-LN(Datos_Niveles!L65)</f>
        <v/>
      </c>
      <c r="M66" s="7">
        <f>LN(Datos_Niveles!M66)-LN(Datos_Niveles!M65)</f>
        <v/>
      </c>
      <c r="N66" s="7">
        <f>Datos_Niveles!N66-Datos_Niveles!N65</f>
        <v/>
      </c>
      <c r="O66" s="7">
        <f>Datos_Niveles!O66-Datos_Niveles!O65</f>
        <v/>
      </c>
      <c r="P66" s="7">
        <f>LN(Datos_Niveles!P66)-LN(Datos_Niveles!P65)</f>
        <v/>
      </c>
      <c r="Q66" s="7">
        <f>LN(Datos_Niveles!Q66)-LN(Datos_Niveles!Q65)</f>
        <v/>
      </c>
    </row>
    <row r="67">
      <c r="A67">
        <f>Datos_Niveles!A67</f>
        <v/>
      </c>
      <c r="B67" s="7">
        <f>LN(Datos_Niveles!B67)-LN(Datos_Niveles!B66)</f>
        <v/>
      </c>
      <c r="C67" s="7">
        <f>LN(Datos_Niveles!C67)-LN(Datos_Niveles!C66)</f>
        <v/>
      </c>
      <c r="D67" s="7">
        <f>LN(Datos_Niveles!D67)-LN(Datos_Niveles!D66)</f>
        <v/>
      </c>
      <c r="E67" s="7">
        <f>LN(Datos_Niveles!E67)-LN(Datos_Niveles!E66)</f>
        <v/>
      </c>
      <c r="F67" s="7">
        <f>LN(Datos_Niveles!F67)-LN(Datos_Niveles!F66)</f>
        <v/>
      </c>
      <c r="G67" s="7">
        <f>LN(Datos_Niveles!G67)-LN(Datos_Niveles!G66)</f>
        <v/>
      </c>
      <c r="H67" s="7">
        <f>LN(Datos_Niveles!H67)-LN(Datos_Niveles!H66)</f>
        <v/>
      </c>
      <c r="I67" s="7">
        <f>Datos_Niveles!I67-Datos_Niveles!I66</f>
        <v/>
      </c>
      <c r="J67" s="7">
        <f>LN(Datos_Niveles!J67)-LN(Datos_Niveles!J66)</f>
        <v/>
      </c>
      <c r="K67" s="7">
        <f>Datos_Niveles!K67-Datos_Niveles!K66</f>
        <v/>
      </c>
      <c r="L67" s="7">
        <f>LN(Datos_Niveles!L67)-LN(Datos_Niveles!L66)</f>
        <v/>
      </c>
      <c r="M67" s="7">
        <f>LN(Datos_Niveles!M67)-LN(Datos_Niveles!M66)</f>
        <v/>
      </c>
      <c r="N67" s="7">
        <f>Datos_Niveles!N67-Datos_Niveles!N66</f>
        <v/>
      </c>
      <c r="O67" s="7">
        <f>Datos_Niveles!O67-Datos_Niveles!O66</f>
        <v/>
      </c>
      <c r="P67" s="7">
        <f>LN(Datos_Niveles!P67)-LN(Datos_Niveles!P66)</f>
        <v/>
      </c>
      <c r="Q67" s="7">
        <f>LN(Datos_Niveles!Q67)-LN(Datos_Niveles!Q66)</f>
        <v/>
      </c>
    </row>
    <row r="68">
      <c r="A68">
        <f>Datos_Niveles!A68</f>
        <v/>
      </c>
      <c r="B68" s="7">
        <f>LN(Datos_Niveles!B68)-LN(Datos_Niveles!B67)</f>
        <v/>
      </c>
      <c r="C68" s="7">
        <f>LN(Datos_Niveles!C68)-LN(Datos_Niveles!C67)</f>
        <v/>
      </c>
      <c r="D68" s="7">
        <f>LN(Datos_Niveles!D68)-LN(Datos_Niveles!D67)</f>
        <v/>
      </c>
      <c r="E68" s="7">
        <f>LN(Datos_Niveles!E68)-LN(Datos_Niveles!E67)</f>
        <v/>
      </c>
      <c r="F68" s="7">
        <f>LN(Datos_Niveles!F68)-LN(Datos_Niveles!F67)</f>
        <v/>
      </c>
      <c r="G68" s="7">
        <f>LN(Datos_Niveles!G68)-LN(Datos_Niveles!G67)</f>
        <v/>
      </c>
      <c r="H68" s="7">
        <f>LN(Datos_Niveles!H68)-LN(Datos_Niveles!H67)</f>
        <v/>
      </c>
      <c r="I68" s="7">
        <f>Datos_Niveles!I68-Datos_Niveles!I67</f>
        <v/>
      </c>
      <c r="J68" s="7">
        <f>LN(Datos_Niveles!J68)-LN(Datos_Niveles!J67)</f>
        <v/>
      </c>
      <c r="K68" s="7">
        <f>Datos_Niveles!K68-Datos_Niveles!K67</f>
        <v/>
      </c>
      <c r="L68" s="7">
        <f>LN(Datos_Niveles!L68)-LN(Datos_Niveles!L67)</f>
        <v/>
      </c>
      <c r="M68" s="7">
        <f>LN(Datos_Niveles!M68)-LN(Datos_Niveles!M67)</f>
        <v/>
      </c>
      <c r="N68" s="7">
        <f>Datos_Niveles!N68-Datos_Niveles!N67</f>
        <v/>
      </c>
      <c r="O68" s="7">
        <f>Datos_Niveles!O68-Datos_Niveles!O67</f>
        <v/>
      </c>
      <c r="P68" s="7">
        <f>LN(Datos_Niveles!P68)-LN(Datos_Niveles!P67)</f>
        <v/>
      </c>
      <c r="Q68" s="7">
        <f>LN(Datos_Niveles!Q68)-LN(Datos_Niveles!Q67)</f>
        <v/>
      </c>
    </row>
    <row r="69">
      <c r="A69">
        <f>Datos_Niveles!A69</f>
        <v/>
      </c>
      <c r="B69" s="7">
        <f>LN(Datos_Niveles!B69)-LN(Datos_Niveles!B68)</f>
        <v/>
      </c>
      <c r="C69" s="7">
        <f>LN(Datos_Niveles!C69)-LN(Datos_Niveles!C68)</f>
        <v/>
      </c>
      <c r="D69" s="7">
        <f>LN(Datos_Niveles!D69)-LN(Datos_Niveles!D68)</f>
        <v/>
      </c>
      <c r="E69" s="7">
        <f>LN(Datos_Niveles!E69)-LN(Datos_Niveles!E68)</f>
        <v/>
      </c>
      <c r="F69" s="7">
        <f>LN(Datos_Niveles!F69)-LN(Datos_Niveles!F68)</f>
        <v/>
      </c>
      <c r="G69" s="7">
        <f>LN(Datos_Niveles!G69)-LN(Datos_Niveles!G68)</f>
        <v/>
      </c>
      <c r="H69" s="7">
        <f>LN(Datos_Niveles!H69)-LN(Datos_Niveles!H68)</f>
        <v/>
      </c>
      <c r="I69" s="7">
        <f>Datos_Niveles!I69-Datos_Niveles!I68</f>
        <v/>
      </c>
      <c r="J69" s="7">
        <f>LN(Datos_Niveles!J69)-LN(Datos_Niveles!J68)</f>
        <v/>
      </c>
      <c r="K69" s="7">
        <f>Datos_Niveles!K69-Datos_Niveles!K68</f>
        <v/>
      </c>
      <c r="L69" s="7">
        <f>LN(Datos_Niveles!L69)-LN(Datos_Niveles!L68)</f>
        <v/>
      </c>
      <c r="M69" s="7">
        <f>LN(Datos_Niveles!M69)-LN(Datos_Niveles!M68)</f>
        <v/>
      </c>
      <c r="N69" s="7">
        <f>Datos_Niveles!N69-Datos_Niveles!N68</f>
        <v/>
      </c>
      <c r="O69" s="7">
        <f>Datos_Niveles!O69-Datos_Niveles!O68</f>
        <v/>
      </c>
      <c r="P69" s="7">
        <f>LN(Datos_Niveles!P69)-LN(Datos_Niveles!P68)</f>
        <v/>
      </c>
      <c r="Q69" s="7">
        <f>LN(Datos_Niveles!Q69)-LN(Datos_Niveles!Q68)</f>
        <v/>
      </c>
    </row>
    <row r="70">
      <c r="A70">
        <f>Datos_Niveles!A70</f>
        <v/>
      </c>
      <c r="B70" s="7">
        <f>LN(Datos_Niveles!B70)-LN(Datos_Niveles!B69)</f>
        <v/>
      </c>
      <c r="C70" s="7">
        <f>LN(Datos_Niveles!C70)-LN(Datos_Niveles!C69)</f>
        <v/>
      </c>
      <c r="D70" s="7">
        <f>LN(Datos_Niveles!D70)-LN(Datos_Niveles!D69)</f>
        <v/>
      </c>
      <c r="E70" s="7">
        <f>LN(Datos_Niveles!E70)-LN(Datos_Niveles!E69)</f>
        <v/>
      </c>
      <c r="F70" s="7">
        <f>LN(Datos_Niveles!F70)-LN(Datos_Niveles!F69)</f>
        <v/>
      </c>
      <c r="G70" s="7">
        <f>LN(Datos_Niveles!G70)-LN(Datos_Niveles!G69)</f>
        <v/>
      </c>
      <c r="H70" s="7">
        <f>LN(Datos_Niveles!H70)-LN(Datos_Niveles!H69)</f>
        <v/>
      </c>
      <c r="I70" s="7">
        <f>Datos_Niveles!I70-Datos_Niveles!I69</f>
        <v/>
      </c>
      <c r="J70" s="7">
        <f>LN(Datos_Niveles!J70)-LN(Datos_Niveles!J69)</f>
        <v/>
      </c>
      <c r="K70" s="7">
        <f>Datos_Niveles!K70-Datos_Niveles!K69</f>
        <v/>
      </c>
      <c r="L70" s="7">
        <f>LN(Datos_Niveles!L70)-LN(Datos_Niveles!L69)</f>
        <v/>
      </c>
      <c r="M70" s="7">
        <f>LN(Datos_Niveles!M70)-LN(Datos_Niveles!M69)</f>
        <v/>
      </c>
      <c r="N70" s="7">
        <f>Datos_Niveles!N70-Datos_Niveles!N69</f>
        <v/>
      </c>
      <c r="O70" s="7">
        <f>Datos_Niveles!O70-Datos_Niveles!O69</f>
        <v/>
      </c>
      <c r="P70" s="7">
        <f>LN(Datos_Niveles!P70)-LN(Datos_Niveles!P69)</f>
        <v/>
      </c>
      <c r="Q70" s="7">
        <f>LN(Datos_Niveles!Q70)-LN(Datos_Niveles!Q69)</f>
        <v/>
      </c>
    </row>
    <row r="71">
      <c r="A71">
        <f>Datos_Niveles!A71</f>
        <v/>
      </c>
      <c r="B71" s="7">
        <f>LN(Datos_Niveles!B71)-LN(Datos_Niveles!B70)</f>
        <v/>
      </c>
      <c r="C71" s="7">
        <f>LN(Datos_Niveles!C71)-LN(Datos_Niveles!C70)</f>
        <v/>
      </c>
      <c r="D71" s="7">
        <f>LN(Datos_Niveles!D71)-LN(Datos_Niveles!D70)</f>
        <v/>
      </c>
      <c r="E71" s="7">
        <f>LN(Datos_Niveles!E71)-LN(Datos_Niveles!E70)</f>
        <v/>
      </c>
      <c r="F71" s="7">
        <f>LN(Datos_Niveles!F71)-LN(Datos_Niveles!F70)</f>
        <v/>
      </c>
      <c r="G71" s="7">
        <f>LN(Datos_Niveles!G71)-LN(Datos_Niveles!G70)</f>
        <v/>
      </c>
      <c r="H71" s="7">
        <f>LN(Datos_Niveles!H71)-LN(Datos_Niveles!H70)</f>
        <v/>
      </c>
      <c r="I71" s="7">
        <f>Datos_Niveles!I71-Datos_Niveles!I70</f>
        <v/>
      </c>
      <c r="J71" s="7">
        <f>LN(Datos_Niveles!J71)-LN(Datos_Niveles!J70)</f>
        <v/>
      </c>
      <c r="K71" s="7">
        <f>Datos_Niveles!K71-Datos_Niveles!K70</f>
        <v/>
      </c>
      <c r="L71" s="7">
        <f>LN(Datos_Niveles!L71)-LN(Datos_Niveles!L70)</f>
        <v/>
      </c>
      <c r="M71" s="7">
        <f>LN(Datos_Niveles!M71)-LN(Datos_Niveles!M70)</f>
        <v/>
      </c>
      <c r="N71" s="7">
        <f>Datos_Niveles!N71-Datos_Niveles!N70</f>
        <v/>
      </c>
      <c r="O71" s="7">
        <f>Datos_Niveles!O71-Datos_Niveles!O70</f>
        <v/>
      </c>
      <c r="P71" s="7">
        <f>LN(Datos_Niveles!P71)-LN(Datos_Niveles!P70)</f>
        <v/>
      </c>
      <c r="Q71" s="7">
        <f>LN(Datos_Niveles!Q71)-LN(Datos_Niveles!Q70)</f>
        <v/>
      </c>
    </row>
    <row r="72">
      <c r="A72">
        <f>Datos_Niveles!A72</f>
        <v/>
      </c>
      <c r="B72" s="7">
        <f>LN(Datos_Niveles!B72)-LN(Datos_Niveles!B71)</f>
        <v/>
      </c>
      <c r="C72" s="7">
        <f>LN(Datos_Niveles!C72)-LN(Datos_Niveles!C71)</f>
        <v/>
      </c>
      <c r="D72" s="7">
        <f>LN(Datos_Niveles!D72)-LN(Datos_Niveles!D71)</f>
        <v/>
      </c>
      <c r="E72" s="7">
        <f>LN(Datos_Niveles!E72)-LN(Datos_Niveles!E71)</f>
        <v/>
      </c>
      <c r="F72" s="7">
        <f>LN(Datos_Niveles!F72)-LN(Datos_Niveles!F71)</f>
        <v/>
      </c>
      <c r="G72" s="7">
        <f>LN(Datos_Niveles!G72)-LN(Datos_Niveles!G71)</f>
        <v/>
      </c>
      <c r="H72" s="7">
        <f>LN(Datos_Niveles!H72)-LN(Datos_Niveles!H71)</f>
        <v/>
      </c>
      <c r="I72" s="7">
        <f>Datos_Niveles!I72-Datos_Niveles!I71</f>
        <v/>
      </c>
      <c r="J72" s="7">
        <f>LN(Datos_Niveles!J72)-LN(Datos_Niveles!J71)</f>
        <v/>
      </c>
      <c r="K72" s="7">
        <f>Datos_Niveles!K72-Datos_Niveles!K71</f>
        <v/>
      </c>
      <c r="L72" s="7">
        <f>LN(Datos_Niveles!L72)-LN(Datos_Niveles!L71)</f>
        <v/>
      </c>
      <c r="M72" s="7">
        <f>LN(Datos_Niveles!M72)-LN(Datos_Niveles!M71)</f>
        <v/>
      </c>
      <c r="N72" s="7">
        <f>Datos_Niveles!N72-Datos_Niveles!N71</f>
        <v/>
      </c>
      <c r="O72" s="7">
        <f>Datos_Niveles!O72-Datos_Niveles!O71</f>
        <v/>
      </c>
      <c r="P72" s="7">
        <f>LN(Datos_Niveles!P72)-LN(Datos_Niveles!P71)</f>
        <v/>
      </c>
      <c r="Q72" s="7">
        <f>LN(Datos_Niveles!Q72)-LN(Datos_Niveles!Q71)</f>
        <v/>
      </c>
    </row>
    <row r="73">
      <c r="A73">
        <f>Datos_Niveles!A73</f>
        <v/>
      </c>
      <c r="B73" s="7">
        <f>LN(Datos_Niveles!B73)-LN(Datos_Niveles!B72)</f>
        <v/>
      </c>
      <c r="C73" s="7">
        <f>LN(Datos_Niveles!C73)-LN(Datos_Niveles!C72)</f>
        <v/>
      </c>
      <c r="D73" s="7">
        <f>LN(Datos_Niveles!D73)-LN(Datos_Niveles!D72)</f>
        <v/>
      </c>
      <c r="E73" s="7">
        <f>LN(Datos_Niveles!E73)-LN(Datos_Niveles!E72)</f>
        <v/>
      </c>
      <c r="F73" s="7">
        <f>LN(Datos_Niveles!F73)-LN(Datos_Niveles!F72)</f>
        <v/>
      </c>
      <c r="G73" s="7">
        <f>LN(Datos_Niveles!G73)-LN(Datos_Niveles!G72)</f>
        <v/>
      </c>
      <c r="H73" s="7">
        <f>LN(Datos_Niveles!H73)-LN(Datos_Niveles!H72)</f>
        <v/>
      </c>
      <c r="I73" s="7">
        <f>Datos_Niveles!I73-Datos_Niveles!I72</f>
        <v/>
      </c>
      <c r="J73" s="7">
        <f>LN(Datos_Niveles!J73)-LN(Datos_Niveles!J72)</f>
        <v/>
      </c>
      <c r="K73" s="7">
        <f>Datos_Niveles!K73-Datos_Niveles!K72</f>
        <v/>
      </c>
      <c r="L73" s="7">
        <f>LN(Datos_Niveles!L73)-LN(Datos_Niveles!L72)</f>
        <v/>
      </c>
      <c r="M73" s="7">
        <f>LN(Datos_Niveles!M73)-LN(Datos_Niveles!M72)</f>
        <v/>
      </c>
      <c r="N73" s="7">
        <f>Datos_Niveles!N73-Datos_Niveles!N72</f>
        <v/>
      </c>
      <c r="O73" s="7">
        <f>Datos_Niveles!O73-Datos_Niveles!O72</f>
        <v/>
      </c>
      <c r="P73" s="7">
        <f>LN(Datos_Niveles!P73)-LN(Datos_Niveles!P72)</f>
        <v/>
      </c>
      <c r="Q73" s="7">
        <f>LN(Datos_Niveles!Q73)-LN(Datos_Niveles!Q72)</f>
        <v/>
      </c>
    </row>
    <row r="75">
      <c r="A75" s="6" t="inlineStr">
        <is>
          <t>Regla: índices/niveles de actividad → log-diferencia mensual; tasas ya en % → diferencia simple; balanza/EPU (pueden ser negativos) → diferencia simple en nivel. Fórmulas EN VIVO sobre Datos_Niveles.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8" t="inlineStr">
        <is>
          <t>Escenarios epidemiológicos — crecimiento semanal de casos, México</t>
        </is>
      </c>
    </row>
    <row r="3">
      <c r="A3" t="inlineStr">
        <is>
          <t>g0 (tasa de crecimiento semanal real al corte, dato observado)</t>
        </is>
      </c>
      <c r="D3" s="9" t="n">
        <v>0.1306883052652932</v>
      </c>
    </row>
    <row r="4">
      <c r="A4" s="6" t="inlineStr">
        <is>
          <t>Fuente: Our World in Data, semana terminada 2020-06-14, log(casos_t/casos_t-1).</t>
        </is>
      </c>
    </row>
    <row r="6">
      <c r="A6" s="3" t="inlineStr">
        <is>
          <t>Parámetros de escenario (editables)</t>
        </is>
      </c>
    </row>
    <row r="7">
      <c r="A7" s="5" t="inlineStr">
        <is>
          <t>Escenario</t>
        </is>
      </c>
      <c r="B7" s="5" t="inlineStr">
        <is>
          <t>g_inf (tasa largo plazo)</t>
        </is>
      </c>
      <c r="C7" s="5" t="inlineStr">
        <is>
          <t>tau (semanas)</t>
        </is>
      </c>
      <c r="D7" s="5" t="inlineStr">
        <is>
          <t>bump_semana</t>
        </is>
      </c>
      <c r="E7" s="5" t="inlineStr">
        <is>
          <t>bump_amplitud</t>
        </is>
      </c>
      <c r="F7" s="5" t="inlineStr">
        <is>
          <t>bump_ancho</t>
        </is>
      </c>
    </row>
    <row r="8">
      <c r="A8" t="inlineStr">
        <is>
          <t>nueva_ola</t>
        </is>
      </c>
      <c r="B8" t="n">
        <v>-0.02</v>
      </c>
      <c r="C8" t="n">
        <v>10</v>
      </c>
      <c r="D8" t="n">
        <v>22</v>
      </c>
      <c r="E8" t="n">
        <v>0.1</v>
      </c>
      <c r="F8" t="n">
        <v>3</v>
      </c>
    </row>
    <row r="9">
      <c r="A9" t="inlineStr">
        <is>
          <t>rebote_lento</t>
        </is>
      </c>
      <c r="B9" t="n">
        <v>-0.02</v>
      </c>
      <c r="C9" t="n">
        <v>16</v>
      </c>
      <c r="D9" t="inlineStr"/>
      <c r="E9" t="n">
        <v>0</v>
      </c>
      <c r="F9" t="n">
        <v>1</v>
      </c>
    </row>
    <row r="10">
      <c r="A10" t="inlineStr">
        <is>
          <t>rebote_rapido</t>
        </is>
      </c>
      <c r="B10" t="n">
        <v>-0.1</v>
      </c>
      <c r="C10" t="n">
        <v>3</v>
      </c>
      <c r="D10" t="inlineStr"/>
      <c r="E10" t="n">
        <v>0</v>
      </c>
      <c r="F10" t="n">
        <v>1</v>
      </c>
    </row>
    <row r="11">
      <c r="A11" t="inlineStr">
        <is>
          <t>meseta_extendida</t>
        </is>
      </c>
      <c r="B11" t="n">
        <v>0</v>
      </c>
      <c r="C11" t="n">
        <v>26</v>
      </c>
      <c r="D11" t="inlineStr"/>
      <c r="E11" t="n">
        <v>0</v>
      </c>
      <c r="F11" t="n">
        <v>1</v>
      </c>
    </row>
    <row r="14">
      <c r="A14" s="5" t="inlineStr">
        <is>
          <t>Semana (t, 0=corte)</t>
        </is>
      </c>
      <c r="B14" s="5" t="inlineStr">
        <is>
          <t>nueva_ola</t>
        </is>
      </c>
      <c r="C14" s="5" t="inlineStr">
        <is>
          <t>rebote_lento</t>
        </is>
      </c>
      <c r="D14" s="5" t="inlineStr">
        <is>
          <t>rebote_rapido</t>
        </is>
      </c>
      <c r="E14" s="5" t="inlineStr">
        <is>
          <t>meseta_extendida</t>
        </is>
      </c>
      <c r="F14" s="5" t="inlineStr">
        <is>
          <t>g_observado (real, solo t&lt;0)</t>
        </is>
      </c>
    </row>
    <row r="15">
      <c r="A15" t="n">
        <v>-4</v>
      </c>
      <c r="B15" s="10">
        <f>ROUND($B$8+($D$3-$B$8)*EXP(-A15/$C$8)+IF($D$8="",0,$E$8*EXP(-0.5*((A15-$D$8)/$F$8)^2)),6)</f>
        <v/>
      </c>
      <c r="C15" s="10">
        <f>ROUND($B$9+($D$3-$B$9)*EXP(-A15/$C$9)+IF($D$9="",0,$E$9*EXP(-0.5*((A15-$D$9)/$F$9)^2)),6)</f>
        <v/>
      </c>
      <c r="D15" s="10">
        <f>ROUND($B$10+($D$3-$B$10)*EXP(-A15/$C$10)+IF($D$10="",0,$E$10*EXP(-0.5*((A15-$D$10)/$F$10)^2)),6)</f>
        <v/>
      </c>
      <c r="E15" s="10">
        <f>ROUND($B$11+($D$3-$B$11)*EXP(-A15/$C$11)+IF($D$11="",0,$E$11*EXP(-0.5*((A15-$D$11)/$F$11)^2)),6)</f>
        <v/>
      </c>
      <c r="F15" s="10" t="n">
        <v>0.2134540115109598</v>
      </c>
    </row>
    <row r="16">
      <c r="A16" t="n">
        <v>-3</v>
      </c>
      <c r="B16" s="10">
        <f>ROUND($B$8+($D$3-$B$8)*EXP(-A16/$C$8)+IF($D$8="",0,$E$8*EXP(-0.5*((A16-$D$8)/$F$8)^2)),6)</f>
        <v/>
      </c>
      <c r="C16" s="10">
        <f>ROUND($B$9+($D$3-$B$9)*EXP(-A16/$C$9)+IF($D$9="",0,$E$9*EXP(-0.5*((A16-$D$9)/$F$9)^2)),6)</f>
        <v/>
      </c>
      <c r="D16" s="10">
        <f>ROUND($B$10+($D$3-$B$10)*EXP(-A16/$C$10)+IF($D$10="",0,$E$10*EXP(-0.5*((A16-$D$10)/$F$10)^2)),6)</f>
        <v/>
      </c>
      <c r="E16" s="10">
        <f>ROUND($B$11+($D$3-$B$11)*EXP(-A16/$C$11)+IF($D$11="",0,$E$11*EXP(-0.5*((A16-$D$11)/$F$11)^2)),6)</f>
        <v/>
      </c>
      <c r="F16" s="10" t="n">
        <v>0.109021066929035</v>
      </c>
    </row>
    <row r="17">
      <c r="A17" t="n">
        <v>-2</v>
      </c>
      <c r="B17" s="10">
        <f>ROUND($B$8+($D$3-$B$8)*EXP(-A17/$C$8)+IF($D$8="",0,$E$8*EXP(-0.5*((A17-$D$8)/$F$8)^2)),6)</f>
        <v/>
      </c>
      <c r="C17" s="10">
        <f>ROUND($B$9+($D$3-$B$9)*EXP(-A17/$C$9)+IF($D$9="",0,$E$9*EXP(-0.5*((A17-$D$9)/$F$9)^2)),6)</f>
        <v/>
      </c>
      <c r="D17" s="10">
        <f>ROUND($B$10+($D$3-$B$10)*EXP(-A17/$C$10)+IF($D$10="",0,$E$10*EXP(-0.5*((A17-$D$10)/$F$10)^2)),6)</f>
        <v/>
      </c>
      <c r="E17" s="10">
        <f>ROUND($B$11+($D$3-$B$11)*EXP(-A17/$C$11)+IF($D$11="",0,$E$11*EXP(-0.5*((A17-$D$11)/$F$11)^2)),6)</f>
        <v/>
      </c>
      <c r="F17" s="10" t="n">
        <v>0.1247247000083682</v>
      </c>
    </row>
    <row r="18">
      <c r="A18" t="n">
        <v>-1</v>
      </c>
      <c r="B18" s="10">
        <f>ROUND($B$8+($D$3-$B$8)*EXP(-A18/$C$8)+IF($D$8="",0,$E$8*EXP(-0.5*((A18-$D$8)/$F$8)^2)),6)</f>
        <v/>
      </c>
      <c r="C18" s="10">
        <f>ROUND($B$9+($D$3-$B$9)*EXP(-A18/$C$9)+IF($D$9="",0,$E$9*EXP(-0.5*((A18-$D$9)/$F$9)^2)),6)</f>
        <v/>
      </c>
      <c r="D18" s="10">
        <f>ROUND($B$10+($D$3-$B$10)*EXP(-A18/$C$10)+IF($D$10="",0,$E$10*EXP(-0.5*((A18-$D$10)/$F$10)^2)),6)</f>
        <v/>
      </c>
      <c r="E18" s="10">
        <f>ROUND($B$11+($D$3-$B$11)*EXP(-A18/$C$11)+IF($D$11="",0,$E$11*EXP(-0.5*((A18-$D$11)/$F$11)^2)),6)</f>
        <v/>
      </c>
      <c r="F18" s="10" t="n">
        <v>0.1306883052652932</v>
      </c>
    </row>
    <row r="19">
      <c r="A19" t="n">
        <v>0</v>
      </c>
      <c r="B19" s="10">
        <f>ROUND($B$8+($D$3-$B$8)*EXP(-A19/$C$8)+IF($D$8="",0,$E$8*EXP(-0.5*((A19-$D$8)/$F$8)^2)),6)</f>
        <v/>
      </c>
      <c r="C19" s="10">
        <f>ROUND($B$9+($D$3-$B$9)*EXP(-A19/$C$9)+IF($D$9="",0,$E$9*EXP(-0.5*((A19-$D$9)/$F$9)^2)),6)</f>
        <v/>
      </c>
      <c r="D19" s="10">
        <f>ROUND($B$10+($D$3-$B$10)*EXP(-A19/$C$10)+IF($D$10="",0,$E$10*EXP(-0.5*((A19-$D$10)/$F$10)^2)),6)</f>
        <v/>
      </c>
      <c r="E19" s="10">
        <f>ROUND($B$11+($D$3-$B$11)*EXP(-A19/$C$11)+IF($D$11="",0,$E$11*EXP(-0.5*((A19-$D$11)/$F$11)^2)),6)</f>
        <v/>
      </c>
    </row>
    <row r="20">
      <c r="A20" t="n">
        <v>1</v>
      </c>
      <c r="B20" s="10">
        <f>ROUND($B$8+($D$3-$B$8)*EXP(-A20/$C$8)+IF($D$8="",0,$E$8*EXP(-0.5*((A20-$D$8)/$F$8)^2)),6)</f>
        <v/>
      </c>
      <c r="C20" s="10">
        <f>ROUND($B$9+($D$3-$B$9)*EXP(-A20/$C$9)+IF($D$9="",0,$E$9*EXP(-0.5*((A20-$D$9)/$F$9)^2)),6)</f>
        <v/>
      </c>
      <c r="D20" s="10">
        <f>ROUND($B$10+($D$3-$B$10)*EXP(-A20/$C$10)+IF($D$10="",0,$E$10*EXP(-0.5*((A20-$D$10)/$F$10)^2)),6)</f>
        <v/>
      </c>
      <c r="E20" s="10">
        <f>ROUND($B$11+($D$3-$B$11)*EXP(-A20/$C$11)+IF($D$11="",0,$E$11*EXP(-0.5*((A20-$D$11)/$F$11)^2)),6)</f>
        <v/>
      </c>
    </row>
    <row r="21">
      <c r="A21" t="n">
        <v>2</v>
      </c>
      <c r="B21" s="10">
        <f>ROUND($B$8+($D$3-$B$8)*EXP(-A21/$C$8)+IF($D$8="",0,$E$8*EXP(-0.5*((A21-$D$8)/$F$8)^2)),6)</f>
        <v/>
      </c>
      <c r="C21" s="10">
        <f>ROUND($B$9+($D$3-$B$9)*EXP(-A21/$C$9)+IF($D$9="",0,$E$9*EXP(-0.5*((A21-$D$9)/$F$9)^2)),6)</f>
        <v/>
      </c>
      <c r="D21" s="10">
        <f>ROUND($B$10+($D$3-$B$10)*EXP(-A21/$C$10)+IF($D$10="",0,$E$10*EXP(-0.5*((A21-$D$10)/$F$10)^2)),6)</f>
        <v/>
      </c>
      <c r="E21" s="10">
        <f>ROUND($B$11+($D$3-$B$11)*EXP(-A21/$C$11)+IF($D$11="",0,$E$11*EXP(-0.5*((A21-$D$11)/$F$11)^2)),6)</f>
        <v/>
      </c>
    </row>
    <row r="22">
      <c r="A22" t="n">
        <v>3</v>
      </c>
      <c r="B22" s="10">
        <f>ROUND($B$8+($D$3-$B$8)*EXP(-A22/$C$8)+IF($D$8="",0,$E$8*EXP(-0.5*((A22-$D$8)/$F$8)^2)),6)</f>
        <v/>
      </c>
      <c r="C22" s="10">
        <f>ROUND($B$9+($D$3-$B$9)*EXP(-A22/$C$9)+IF($D$9="",0,$E$9*EXP(-0.5*((A22-$D$9)/$F$9)^2)),6)</f>
        <v/>
      </c>
      <c r="D22" s="10">
        <f>ROUND($B$10+($D$3-$B$10)*EXP(-A22/$C$10)+IF($D$10="",0,$E$10*EXP(-0.5*((A22-$D$10)/$F$10)^2)),6)</f>
        <v/>
      </c>
      <c r="E22" s="10">
        <f>ROUND($B$11+($D$3-$B$11)*EXP(-A22/$C$11)+IF($D$11="",0,$E$11*EXP(-0.5*((A22-$D$11)/$F$11)^2)),6)</f>
        <v/>
      </c>
    </row>
    <row r="23">
      <c r="A23" t="n">
        <v>4</v>
      </c>
      <c r="B23" s="10">
        <f>ROUND($B$8+($D$3-$B$8)*EXP(-A23/$C$8)+IF($D$8="",0,$E$8*EXP(-0.5*((A23-$D$8)/$F$8)^2)),6)</f>
        <v/>
      </c>
      <c r="C23" s="10">
        <f>ROUND($B$9+($D$3-$B$9)*EXP(-A23/$C$9)+IF($D$9="",0,$E$9*EXP(-0.5*((A23-$D$9)/$F$9)^2)),6)</f>
        <v/>
      </c>
      <c r="D23" s="10">
        <f>ROUND($B$10+($D$3-$B$10)*EXP(-A23/$C$10)+IF($D$10="",0,$E$10*EXP(-0.5*((A23-$D$10)/$F$10)^2)),6)</f>
        <v/>
      </c>
      <c r="E23" s="10">
        <f>ROUND($B$11+($D$3-$B$11)*EXP(-A23/$C$11)+IF($D$11="",0,$E$11*EXP(-0.5*((A23-$D$11)/$F$11)^2)),6)</f>
        <v/>
      </c>
    </row>
    <row r="24">
      <c r="A24" t="n">
        <v>5</v>
      </c>
      <c r="B24" s="10">
        <f>ROUND($B$8+($D$3-$B$8)*EXP(-A24/$C$8)+IF($D$8="",0,$E$8*EXP(-0.5*((A24-$D$8)/$F$8)^2)),6)</f>
        <v/>
      </c>
      <c r="C24" s="10">
        <f>ROUND($B$9+($D$3-$B$9)*EXP(-A24/$C$9)+IF($D$9="",0,$E$9*EXP(-0.5*((A24-$D$9)/$F$9)^2)),6)</f>
        <v/>
      </c>
      <c r="D24" s="10">
        <f>ROUND($B$10+($D$3-$B$10)*EXP(-A24/$C$10)+IF($D$10="",0,$E$10*EXP(-0.5*((A24-$D$10)/$F$10)^2)),6)</f>
        <v/>
      </c>
      <c r="E24" s="10">
        <f>ROUND($B$11+($D$3-$B$11)*EXP(-A24/$C$11)+IF($D$11="",0,$E$11*EXP(-0.5*((A24-$D$11)/$F$11)^2)),6)</f>
        <v/>
      </c>
    </row>
    <row r="25">
      <c r="A25" t="n">
        <v>6</v>
      </c>
      <c r="B25" s="10">
        <f>ROUND($B$8+($D$3-$B$8)*EXP(-A25/$C$8)+IF($D$8="",0,$E$8*EXP(-0.5*((A25-$D$8)/$F$8)^2)),6)</f>
        <v/>
      </c>
      <c r="C25" s="10">
        <f>ROUND($B$9+($D$3-$B$9)*EXP(-A25/$C$9)+IF($D$9="",0,$E$9*EXP(-0.5*((A25-$D$9)/$F$9)^2)),6)</f>
        <v/>
      </c>
      <c r="D25" s="10">
        <f>ROUND($B$10+($D$3-$B$10)*EXP(-A25/$C$10)+IF($D$10="",0,$E$10*EXP(-0.5*((A25-$D$10)/$F$10)^2)),6)</f>
        <v/>
      </c>
      <c r="E25" s="10">
        <f>ROUND($B$11+($D$3-$B$11)*EXP(-A25/$C$11)+IF($D$11="",0,$E$11*EXP(-0.5*((A25-$D$11)/$F$11)^2)),6)</f>
        <v/>
      </c>
    </row>
    <row r="26">
      <c r="A26" t="n">
        <v>7</v>
      </c>
      <c r="B26" s="10">
        <f>ROUND($B$8+($D$3-$B$8)*EXP(-A26/$C$8)+IF($D$8="",0,$E$8*EXP(-0.5*((A26-$D$8)/$F$8)^2)),6)</f>
        <v/>
      </c>
      <c r="C26" s="10">
        <f>ROUND($B$9+($D$3-$B$9)*EXP(-A26/$C$9)+IF($D$9="",0,$E$9*EXP(-0.5*((A26-$D$9)/$F$9)^2)),6)</f>
        <v/>
      </c>
      <c r="D26" s="10">
        <f>ROUND($B$10+($D$3-$B$10)*EXP(-A26/$C$10)+IF($D$10="",0,$E$10*EXP(-0.5*((A26-$D$10)/$F$10)^2)),6)</f>
        <v/>
      </c>
      <c r="E26" s="10">
        <f>ROUND($B$11+($D$3-$B$11)*EXP(-A26/$C$11)+IF($D$11="",0,$E$11*EXP(-0.5*((A26-$D$11)/$F$11)^2)),6)</f>
        <v/>
      </c>
    </row>
    <row r="27">
      <c r="A27" t="n">
        <v>8</v>
      </c>
      <c r="B27" s="10">
        <f>ROUND($B$8+($D$3-$B$8)*EXP(-A27/$C$8)+IF($D$8="",0,$E$8*EXP(-0.5*((A27-$D$8)/$F$8)^2)),6)</f>
        <v/>
      </c>
      <c r="C27" s="10">
        <f>ROUND($B$9+($D$3-$B$9)*EXP(-A27/$C$9)+IF($D$9="",0,$E$9*EXP(-0.5*((A27-$D$9)/$F$9)^2)),6)</f>
        <v/>
      </c>
      <c r="D27" s="10">
        <f>ROUND($B$10+($D$3-$B$10)*EXP(-A27/$C$10)+IF($D$10="",0,$E$10*EXP(-0.5*((A27-$D$10)/$F$10)^2)),6)</f>
        <v/>
      </c>
      <c r="E27" s="10">
        <f>ROUND($B$11+($D$3-$B$11)*EXP(-A27/$C$11)+IF($D$11="",0,$E$11*EXP(-0.5*((A27-$D$11)/$F$11)^2)),6)</f>
        <v/>
      </c>
    </row>
    <row r="28">
      <c r="A28" t="n">
        <v>9</v>
      </c>
      <c r="B28" s="10">
        <f>ROUND($B$8+($D$3-$B$8)*EXP(-A28/$C$8)+IF($D$8="",0,$E$8*EXP(-0.5*((A28-$D$8)/$F$8)^2)),6)</f>
        <v/>
      </c>
      <c r="C28" s="10">
        <f>ROUND($B$9+($D$3-$B$9)*EXP(-A28/$C$9)+IF($D$9="",0,$E$9*EXP(-0.5*((A28-$D$9)/$F$9)^2)),6)</f>
        <v/>
      </c>
      <c r="D28" s="10">
        <f>ROUND($B$10+($D$3-$B$10)*EXP(-A28/$C$10)+IF($D$10="",0,$E$10*EXP(-0.5*((A28-$D$10)/$F$10)^2)),6)</f>
        <v/>
      </c>
      <c r="E28" s="10">
        <f>ROUND($B$11+($D$3-$B$11)*EXP(-A28/$C$11)+IF($D$11="",0,$E$11*EXP(-0.5*((A28-$D$11)/$F$11)^2)),6)</f>
        <v/>
      </c>
    </row>
    <row r="29">
      <c r="A29" t="n">
        <v>10</v>
      </c>
      <c r="B29" s="10">
        <f>ROUND($B$8+($D$3-$B$8)*EXP(-A29/$C$8)+IF($D$8="",0,$E$8*EXP(-0.5*((A29-$D$8)/$F$8)^2)),6)</f>
        <v/>
      </c>
      <c r="C29" s="10">
        <f>ROUND($B$9+($D$3-$B$9)*EXP(-A29/$C$9)+IF($D$9="",0,$E$9*EXP(-0.5*((A29-$D$9)/$F$9)^2)),6)</f>
        <v/>
      </c>
      <c r="D29" s="10">
        <f>ROUND($B$10+($D$3-$B$10)*EXP(-A29/$C$10)+IF($D$10="",0,$E$10*EXP(-0.5*((A29-$D$10)/$F$10)^2)),6)</f>
        <v/>
      </c>
      <c r="E29" s="10">
        <f>ROUND($B$11+($D$3-$B$11)*EXP(-A29/$C$11)+IF($D$11="",0,$E$11*EXP(-0.5*((A29-$D$11)/$F$11)^2)),6)</f>
        <v/>
      </c>
    </row>
    <row r="30">
      <c r="A30" t="n">
        <v>11</v>
      </c>
      <c r="B30" s="10">
        <f>ROUND($B$8+($D$3-$B$8)*EXP(-A30/$C$8)+IF($D$8="",0,$E$8*EXP(-0.5*((A30-$D$8)/$F$8)^2)),6)</f>
        <v/>
      </c>
      <c r="C30" s="10">
        <f>ROUND($B$9+($D$3-$B$9)*EXP(-A30/$C$9)+IF($D$9="",0,$E$9*EXP(-0.5*((A30-$D$9)/$F$9)^2)),6)</f>
        <v/>
      </c>
      <c r="D30" s="10">
        <f>ROUND($B$10+($D$3-$B$10)*EXP(-A30/$C$10)+IF($D$10="",0,$E$10*EXP(-0.5*((A30-$D$10)/$F$10)^2)),6)</f>
        <v/>
      </c>
      <c r="E30" s="10">
        <f>ROUND($B$11+($D$3-$B$11)*EXP(-A30/$C$11)+IF($D$11="",0,$E$11*EXP(-0.5*((A30-$D$11)/$F$11)^2)),6)</f>
        <v/>
      </c>
    </row>
    <row r="31">
      <c r="A31" t="n">
        <v>12</v>
      </c>
      <c r="B31" s="10">
        <f>ROUND($B$8+($D$3-$B$8)*EXP(-A31/$C$8)+IF($D$8="",0,$E$8*EXP(-0.5*((A31-$D$8)/$F$8)^2)),6)</f>
        <v/>
      </c>
      <c r="C31" s="10">
        <f>ROUND($B$9+($D$3-$B$9)*EXP(-A31/$C$9)+IF($D$9="",0,$E$9*EXP(-0.5*((A31-$D$9)/$F$9)^2)),6)</f>
        <v/>
      </c>
      <c r="D31" s="10">
        <f>ROUND($B$10+($D$3-$B$10)*EXP(-A31/$C$10)+IF($D$10="",0,$E$10*EXP(-0.5*((A31-$D$10)/$F$10)^2)),6)</f>
        <v/>
      </c>
      <c r="E31" s="10">
        <f>ROUND($B$11+($D$3-$B$11)*EXP(-A31/$C$11)+IF($D$11="",0,$E$11*EXP(-0.5*((A31-$D$11)/$F$11)^2)),6)</f>
        <v/>
      </c>
    </row>
    <row r="32">
      <c r="A32" t="n">
        <v>13</v>
      </c>
      <c r="B32" s="10">
        <f>ROUND($B$8+($D$3-$B$8)*EXP(-A32/$C$8)+IF($D$8="",0,$E$8*EXP(-0.5*((A32-$D$8)/$F$8)^2)),6)</f>
        <v/>
      </c>
      <c r="C32" s="10">
        <f>ROUND($B$9+($D$3-$B$9)*EXP(-A32/$C$9)+IF($D$9="",0,$E$9*EXP(-0.5*((A32-$D$9)/$F$9)^2)),6)</f>
        <v/>
      </c>
      <c r="D32" s="10">
        <f>ROUND($B$10+($D$3-$B$10)*EXP(-A32/$C$10)+IF($D$10="",0,$E$10*EXP(-0.5*((A32-$D$10)/$F$10)^2)),6)</f>
        <v/>
      </c>
      <c r="E32" s="10">
        <f>ROUND($B$11+($D$3-$B$11)*EXP(-A32/$C$11)+IF($D$11="",0,$E$11*EXP(-0.5*((A32-$D$11)/$F$11)^2)),6)</f>
        <v/>
      </c>
    </row>
    <row r="33">
      <c r="A33" t="n">
        <v>14</v>
      </c>
      <c r="B33" s="10">
        <f>ROUND($B$8+($D$3-$B$8)*EXP(-A33/$C$8)+IF($D$8="",0,$E$8*EXP(-0.5*((A33-$D$8)/$F$8)^2)),6)</f>
        <v/>
      </c>
      <c r="C33" s="10">
        <f>ROUND($B$9+($D$3-$B$9)*EXP(-A33/$C$9)+IF($D$9="",0,$E$9*EXP(-0.5*((A33-$D$9)/$F$9)^2)),6)</f>
        <v/>
      </c>
      <c r="D33" s="10">
        <f>ROUND($B$10+($D$3-$B$10)*EXP(-A33/$C$10)+IF($D$10="",0,$E$10*EXP(-0.5*((A33-$D$10)/$F$10)^2)),6)</f>
        <v/>
      </c>
      <c r="E33" s="10">
        <f>ROUND($B$11+($D$3-$B$11)*EXP(-A33/$C$11)+IF($D$11="",0,$E$11*EXP(-0.5*((A33-$D$11)/$F$11)^2)),6)</f>
        <v/>
      </c>
    </row>
    <row r="34">
      <c r="A34" t="n">
        <v>15</v>
      </c>
      <c r="B34" s="10">
        <f>ROUND($B$8+($D$3-$B$8)*EXP(-A34/$C$8)+IF($D$8="",0,$E$8*EXP(-0.5*((A34-$D$8)/$F$8)^2)),6)</f>
        <v/>
      </c>
      <c r="C34" s="10">
        <f>ROUND($B$9+($D$3-$B$9)*EXP(-A34/$C$9)+IF($D$9="",0,$E$9*EXP(-0.5*((A34-$D$9)/$F$9)^2)),6)</f>
        <v/>
      </c>
      <c r="D34" s="10">
        <f>ROUND($B$10+($D$3-$B$10)*EXP(-A34/$C$10)+IF($D$10="",0,$E$10*EXP(-0.5*((A34-$D$10)/$F$10)^2)),6)</f>
        <v/>
      </c>
      <c r="E34" s="10">
        <f>ROUND($B$11+($D$3-$B$11)*EXP(-A34/$C$11)+IF($D$11="",0,$E$11*EXP(-0.5*((A34-$D$11)/$F$11)^2)),6)</f>
        <v/>
      </c>
    </row>
    <row r="35">
      <c r="A35" t="n">
        <v>16</v>
      </c>
      <c r="B35" s="10">
        <f>ROUND($B$8+($D$3-$B$8)*EXP(-A35/$C$8)+IF($D$8="",0,$E$8*EXP(-0.5*((A35-$D$8)/$F$8)^2)),6)</f>
        <v/>
      </c>
      <c r="C35" s="10">
        <f>ROUND($B$9+($D$3-$B$9)*EXP(-A35/$C$9)+IF($D$9="",0,$E$9*EXP(-0.5*((A35-$D$9)/$F$9)^2)),6)</f>
        <v/>
      </c>
      <c r="D35" s="10">
        <f>ROUND($B$10+($D$3-$B$10)*EXP(-A35/$C$10)+IF($D$10="",0,$E$10*EXP(-0.5*((A35-$D$10)/$F$10)^2)),6)</f>
        <v/>
      </c>
      <c r="E35" s="10">
        <f>ROUND($B$11+($D$3-$B$11)*EXP(-A35/$C$11)+IF($D$11="",0,$E$11*EXP(-0.5*((A35-$D$11)/$F$11)^2)),6)</f>
        <v/>
      </c>
    </row>
    <row r="36">
      <c r="A36" t="n">
        <v>17</v>
      </c>
      <c r="B36" s="10">
        <f>ROUND($B$8+($D$3-$B$8)*EXP(-A36/$C$8)+IF($D$8="",0,$E$8*EXP(-0.5*((A36-$D$8)/$F$8)^2)),6)</f>
        <v/>
      </c>
      <c r="C36" s="10">
        <f>ROUND($B$9+($D$3-$B$9)*EXP(-A36/$C$9)+IF($D$9="",0,$E$9*EXP(-0.5*((A36-$D$9)/$F$9)^2)),6)</f>
        <v/>
      </c>
      <c r="D36" s="10">
        <f>ROUND($B$10+($D$3-$B$10)*EXP(-A36/$C$10)+IF($D$10="",0,$E$10*EXP(-0.5*((A36-$D$10)/$F$10)^2)),6)</f>
        <v/>
      </c>
      <c r="E36" s="10">
        <f>ROUND($B$11+($D$3-$B$11)*EXP(-A36/$C$11)+IF($D$11="",0,$E$11*EXP(-0.5*((A36-$D$11)/$F$11)^2)),6)</f>
        <v/>
      </c>
    </row>
    <row r="37">
      <c r="A37" t="n">
        <v>18</v>
      </c>
      <c r="B37" s="10">
        <f>ROUND($B$8+($D$3-$B$8)*EXP(-A37/$C$8)+IF($D$8="",0,$E$8*EXP(-0.5*((A37-$D$8)/$F$8)^2)),6)</f>
        <v/>
      </c>
      <c r="C37" s="10">
        <f>ROUND($B$9+($D$3-$B$9)*EXP(-A37/$C$9)+IF($D$9="",0,$E$9*EXP(-0.5*((A37-$D$9)/$F$9)^2)),6)</f>
        <v/>
      </c>
      <c r="D37" s="10">
        <f>ROUND($B$10+($D$3-$B$10)*EXP(-A37/$C$10)+IF($D$10="",0,$E$10*EXP(-0.5*((A37-$D$10)/$F$10)^2)),6)</f>
        <v/>
      </c>
      <c r="E37" s="10">
        <f>ROUND($B$11+($D$3-$B$11)*EXP(-A37/$C$11)+IF($D$11="",0,$E$11*EXP(-0.5*((A37-$D$11)/$F$11)^2)),6)</f>
        <v/>
      </c>
    </row>
    <row r="38">
      <c r="A38" t="n">
        <v>19</v>
      </c>
      <c r="B38" s="10">
        <f>ROUND($B$8+($D$3-$B$8)*EXP(-A38/$C$8)+IF($D$8="",0,$E$8*EXP(-0.5*((A38-$D$8)/$F$8)^2)),6)</f>
        <v/>
      </c>
      <c r="C38" s="10">
        <f>ROUND($B$9+($D$3-$B$9)*EXP(-A38/$C$9)+IF($D$9="",0,$E$9*EXP(-0.5*((A38-$D$9)/$F$9)^2)),6)</f>
        <v/>
      </c>
      <c r="D38" s="10">
        <f>ROUND($B$10+($D$3-$B$10)*EXP(-A38/$C$10)+IF($D$10="",0,$E$10*EXP(-0.5*((A38-$D$10)/$F$10)^2)),6)</f>
        <v/>
      </c>
      <c r="E38" s="10">
        <f>ROUND($B$11+($D$3-$B$11)*EXP(-A38/$C$11)+IF($D$11="",0,$E$11*EXP(-0.5*((A38-$D$11)/$F$11)^2)),6)</f>
        <v/>
      </c>
    </row>
    <row r="39">
      <c r="A39" t="n">
        <v>20</v>
      </c>
      <c r="B39" s="10">
        <f>ROUND($B$8+($D$3-$B$8)*EXP(-A39/$C$8)+IF($D$8="",0,$E$8*EXP(-0.5*((A39-$D$8)/$F$8)^2)),6)</f>
        <v/>
      </c>
      <c r="C39" s="10">
        <f>ROUND($B$9+($D$3-$B$9)*EXP(-A39/$C$9)+IF($D$9="",0,$E$9*EXP(-0.5*((A39-$D$9)/$F$9)^2)),6)</f>
        <v/>
      </c>
      <c r="D39" s="10">
        <f>ROUND($B$10+($D$3-$B$10)*EXP(-A39/$C$10)+IF($D$10="",0,$E$10*EXP(-0.5*((A39-$D$10)/$F$10)^2)),6)</f>
        <v/>
      </c>
      <c r="E39" s="10">
        <f>ROUND($B$11+($D$3-$B$11)*EXP(-A39/$C$11)+IF($D$11="",0,$E$11*EXP(-0.5*((A39-$D$11)/$F$11)^2)),6)</f>
        <v/>
      </c>
    </row>
    <row r="40">
      <c r="A40" t="n">
        <v>21</v>
      </c>
      <c r="B40" s="10">
        <f>ROUND($B$8+($D$3-$B$8)*EXP(-A40/$C$8)+IF($D$8="",0,$E$8*EXP(-0.5*((A40-$D$8)/$F$8)^2)),6)</f>
        <v/>
      </c>
      <c r="C40" s="10">
        <f>ROUND($B$9+($D$3-$B$9)*EXP(-A40/$C$9)+IF($D$9="",0,$E$9*EXP(-0.5*((A40-$D$9)/$F$9)^2)),6)</f>
        <v/>
      </c>
      <c r="D40" s="10">
        <f>ROUND($B$10+($D$3-$B$10)*EXP(-A40/$C$10)+IF($D$10="",0,$E$10*EXP(-0.5*((A40-$D$10)/$F$10)^2)),6)</f>
        <v/>
      </c>
      <c r="E40" s="10">
        <f>ROUND($B$11+($D$3-$B$11)*EXP(-A40/$C$11)+IF($D$11="",0,$E$11*EXP(-0.5*((A40-$D$11)/$F$11)^2)),6)</f>
        <v/>
      </c>
    </row>
    <row r="41">
      <c r="A41" t="n">
        <v>22</v>
      </c>
      <c r="B41" s="10">
        <f>ROUND($B$8+($D$3-$B$8)*EXP(-A41/$C$8)+IF($D$8="",0,$E$8*EXP(-0.5*((A41-$D$8)/$F$8)^2)),6)</f>
        <v/>
      </c>
      <c r="C41" s="10">
        <f>ROUND($B$9+($D$3-$B$9)*EXP(-A41/$C$9)+IF($D$9="",0,$E$9*EXP(-0.5*((A41-$D$9)/$F$9)^2)),6)</f>
        <v/>
      </c>
      <c r="D41" s="10">
        <f>ROUND($B$10+($D$3-$B$10)*EXP(-A41/$C$10)+IF($D$10="",0,$E$10*EXP(-0.5*((A41-$D$10)/$F$10)^2)),6)</f>
        <v/>
      </c>
      <c r="E41" s="10">
        <f>ROUND($B$11+($D$3-$B$11)*EXP(-A41/$C$11)+IF($D$11="",0,$E$11*EXP(-0.5*((A41-$D$11)/$F$11)^2)),6)</f>
        <v/>
      </c>
    </row>
    <row r="42">
      <c r="A42" t="n">
        <v>23</v>
      </c>
      <c r="B42" s="10">
        <f>ROUND($B$8+($D$3-$B$8)*EXP(-A42/$C$8)+IF($D$8="",0,$E$8*EXP(-0.5*((A42-$D$8)/$F$8)^2)),6)</f>
        <v/>
      </c>
      <c r="C42" s="10">
        <f>ROUND($B$9+($D$3-$B$9)*EXP(-A42/$C$9)+IF($D$9="",0,$E$9*EXP(-0.5*((A42-$D$9)/$F$9)^2)),6)</f>
        <v/>
      </c>
      <c r="D42" s="10">
        <f>ROUND($B$10+($D$3-$B$10)*EXP(-A42/$C$10)+IF($D$10="",0,$E$10*EXP(-0.5*((A42-$D$10)/$F$10)^2)),6)</f>
        <v/>
      </c>
      <c r="E42" s="10">
        <f>ROUND($B$11+($D$3-$B$11)*EXP(-A42/$C$11)+IF($D$11="",0,$E$11*EXP(-0.5*((A42-$D$11)/$F$11)^2)),6)</f>
        <v/>
      </c>
    </row>
    <row r="43">
      <c r="A43" t="n">
        <v>24</v>
      </c>
      <c r="B43" s="10">
        <f>ROUND($B$8+($D$3-$B$8)*EXP(-A43/$C$8)+IF($D$8="",0,$E$8*EXP(-0.5*((A43-$D$8)/$F$8)^2)),6)</f>
        <v/>
      </c>
      <c r="C43" s="10">
        <f>ROUND($B$9+($D$3-$B$9)*EXP(-A43/$C$9)+IF($D$9="",0,$E$9*EXP(-0.5*((A43-$D$9)/$F$9)^2)),6)</f>
        <v/>
      </c>
      <c r="D43" s="10">
        <f>ROUND($B$10+($D$3-$B$10)*EXP(-A43/$C$10)+IF($D$10="",0,$E$10*EXP(-0.5*((A43-$D$10)/$F$10)^2)),6)</f>
        <v/>
      </c>
      <c r="E43" s="10">
        <f>ROUND($B$11+($D$3-$B$11)*EXP(-A43/$C$11)+IF($D$11="",0,$E$11*EXP(-0.5*((A43-$D$11)/$F$11)^2)),6)</f>
        <v/>
      </c>
    </row>
    <row r="44">
      <c r="A44" t="n">
        <v>25</v>
      </c>
      <c r="B44" s="10">
        <f>ROUND($B$8+($D$3-$B$8)*EXP(-A44/$C$8)+IF($D$8="",0,$E$8*EXP(-0.5*((A44-$D$8)/$F$8)^2)),6)</f>
        <v/>
      </c>
      <c r="C44" s="10">
        <f>ROUND($B$9+($D$3-$B$9)*EXP(-A44/$C$9)+IF($D$9="",0,$E$9*EXP(-0.5*((A44-$D$9)/$F$9)^2)),6)</f>
        <v/>
      </c>
      <c r="D44" s="10">
        <f>ROUND($B$10+($D$3-$B$10)*EXP(-A44/$C$10)+IF($D$10="",0,$E$10*EXP(-0.5*((A44-$D$10)/$F$10)^2)),6)</f>
        <v/>
      </c>
      <c r="E44" s="10">
        <f>ROUND($B$11+($D$3-$B$11)*EXP(-A44/$C$11)+IF($D$11="",0,$E$11*EXP(-0.5*((A44-$D$11)/$F$11)^2)),6)</f>
        <v/>
      </c>
    </row>
    <row r="45">
      <c r="A45" t="n">
        <v>26</v>
      </c>
      <c r="B45" s="10">
        <f>ROUND($B$8+($D$3-$B$8)*EXP(-A45/$C$8)+IF($D$8="",0,$E$8*EXP(-0.5*((A45-$D$8)/$F$8)^2)),6)</f>
        <v/>
      </c>
      <c r="C45" s="10">
        <f>ROUND($B$9+($D$3-$B$9)*EXP(-A45/$C$9)+IF($D$9="",0,$E$9*EXP(-0.5*((A45-$D$9)/$F$9)^2)),6)</f>
        <v/>
      </c>
      <c r="D45" s="10">
        <f>ROUND($B$10+($D$3-$B$10)*EXP(-A45/$C$10)+IF($D$10="",0,$E$10*EXP(-0.5*((A45-$D$10)/$F$10)^2)),6)</f>
        <v/>
      </c>
      <c r="E45" s="10">
        <f>ROUND($B$11+($D$3-$B$11)*EXP(-A45/$C$11)+IF($D$11="",0,$E$11*EXP(-0.5*((A45-$D$11)/$F$11)^2)),6)</f>
        <v/>
      </c>
    </row>
    <row r="46">
      <c r="A46" t="n">
        <v>27</v>
      </c>
      <c r="B46" s="10">
        <f>ROUND($B$8+($D$3-$B$8)*EXP(-A46/$C$8)+IF($D$8="",0,$E$8*EXP(-0.5*((A46-$D$8)/$F$8)^2)),6)</f>
        <v/>
      </c>
      <c r="C46" s="10">
        <f>ROUND($B$9+($D$3-$B$9)*EXP(-A46/$C$9)+IF($D$9="",0,$E$9*EXP(-0.5*((A46-$D$9)/$F$9)^2)),6)</f>
        <v/>
      </c>
      <c r="D46" s="10">
        <f>ROUND($B$10+($D$3-$B$10)*EXP(-A46/$C$10)+IF($D$10="",0,$E$10*EXP(-0.5*((A46-$D$10)/$F$10)^2)),6)</f>
        <v/>
      </c>
      <c r="E46" s="10">
        <f>ROUND($B$11+($D$3-$B$11)*EXP(-A46/$C$11)+IF($D$11="",0,$E$11*EXP(-0.5*((A46-$D$11)/$F$11)^2)),6)</f>
        <v/>
      </c>
    </row>
    <row r="47">
      <c r="A47" t="n">
        <v>28</v>
      </c>
      <c r="B47" s="10">
        <f>ROUND($B$8+($D$3-$B$8)*EXP(-A47/$C$8)+IF($D$8="",0,$E$8*EXP(-0.5*((A47-$D$8)/$F$8)^2)),6)</f>
        <v/>
      </c>
      <c r="C47" s="10">
        <f>ROUND($B$9+($D$3-$B$9)*EXP(-A47/$C$9)+IF($D$9="",0,$E$9*EXP(-0.5*((A47-$D$9)/$F$9)^2)),6)</f>
        <v/>
      </c>
      <c r="D47" s="10">
        <f>ROUND($B$10+($D$3-$B$10)*EXP(-A47/$C$10)+IF($D$10="",0,$E$10*EXP(-0.5*((A47-$D$10)/$F$10)^2)),6)</f>
        <v/>
      </c>
      <c r="E47" s="10">
        <f>ROUND($B$11+($D$3-$B$11)*EXP(-A47/$C$11)+IF($D$11="",0,$E$11*EXP(-0.5*((A47-$D$11)/$F$11)^2)),6)</f>
        <v/>
      </c>
    </row>
    <row r="49">
      <c r="A49" s="3" t="inlineStr">
        <is>
          <t>Verosimilitud de backcast (t=-4..-1) y peso bayesiano</t>
        </is>
      </c>
    </row>
    <row r="50">
      <c r="A50" t="inlineStr">
        <is>
          <t>tau_verosimilitud</t>
        </is>
      </c>
      <c r="B50" t="n">
        <v>0.04</v>
      </c>
    </row>
    <row r="52">
      <c r="A52" s="5" t="inlineStr">
        <is>
          <t>Escenario</t>
        </is>
      </c>
      <c r="B52" s="5" t="inlineStr">
        <is>
          <t>logLik backcast</t>
        </is>
      </c>
      <c r="C52" s="5" t="inlineStr">
        <is>
          <t>peso bayesiano</t>
        </is>
      </c>
    </row>
    <row r="53">
      <c r="A53" t="inlineStr">
        <is>
          <t>nueva_ola</t>
        </is>
      </c>
      <c r="B53">
        <f>-0.5*SUMPRODUCT(((F15:F18)-(B15:B18))^2)/$B$50^2</f>
        <v/>
      </c>
      <c r="C53" s="7">
        <f>EXP(B53-MAX($B$53:$B$56))/SUMPRODUCT(EXP($B$53:$B$56-MAX($B$53:$B$56)))</f>
        <v/>
      </c>
    </row>
    <row r="54">
      <c r="A54" t="inlineStr">
        <is>
          <t>rebote_lento</t>
        </is>
      </c>
      <c r="B54">
        <f>-0.5*SUMPRODUCT(((F15:F18)-(C15:C18))^2)/$B$50^2</f>
        <v/>
      </c>
      <c r="C54" s="7">
        <f>EXP(B54-MAX($B$53:$B$56))/SUMPRODUCT(EXP($B$53:$B$56-MAX($B$53:$B$56)))</f>
        <v/>
      </c>
    </row>
    <row r="55">
      <c r="A55" t="inlineStr">
        <is>
          <t>rebote_rapido</t>
        </is>
      </c>
      <c r="B55">
        <f>-0.5*SUMPRODUCT(((F15:F18)-(D15:D18))^2)/$B$50^2</f>
        <v/>
      </c>
      <c r="C55" s="7">
        <f>EXP(B55-MAX($B$53:$B$56))/SUMPRODUCT(EXP($B$53:$B$56-MAX($B$53:$B$56)))</f>
        <v/>
      </c>
    </row>
    <row r="56">
      <c r="A56" t="inlineStr">
        <is>
          <t>meseta_extendida</t>
        </is>
      </c>
      <c r="B56">
        <f>-0.5*SUMPRODUCT(((F15:F18)-(E15:E18))^2)/$B$50^2</f>
        <v/>
      </c>
      <c r="C56" s="7">
        <f>EXP(B56-MAX($B$53:$B$56))/SUMPRODUCT(EXP($B$53:$B$56-MAX($B$53:$B$56)))</f>
        <v/>
      </c>
    </row>
    <row r="59">
      <c r="A59" s="3" t="inlineStr">
        <is>
          <t>Presión de casos mensual (log-nivel acumulado relativo al corte)</t>
        </is>
      </c>
    </row>
    <row r="60">
      <c r="A60" s="5" t="inlineStr">
        <is>
          <t>Mes</t>
        </is>
      </c>
      <c r="B60" s="5" t="inlineStr">
        <is>
          <t>nueva_ola</t>
        </is>
      </c>
      <c r="C60" s="5" t="inlineStr">
        <is>
          <t>rebote_lento</t>
        </is>
      </c>
      <c r="D60" s="5" t="inlineStr">
        <is>
          <t>rebote_rapido</t>
        </is>
      </c>
      <c r="E60" s="5" t="inlineStr">
        <is>
          <t>meseta_extendida</t>
        </is>
      </c>
      <c r="F60" s="5" t="inlineStr">
        <is>
          <t>semana efectiva (MAX(0,·))</t>
        </is>
      </c>
    </row>
    <row r="61">
      <c r="A61" t="inlineStr">
        <is>
          <t>2020-04</t>
        </is>
      </c>
      <c r="B61" s="10">
        <f>IF(F61&lt;0,0,SUMIF($A$19:$A$47,"&lt;="&amp;F61,B$19:B$47))</f>
        <v/>
      </c>
      <c r="C61" s="10">
        <f>IF(F61&lt;0,0,SUMIF($A$19:$A$47,"&lt;="&amp;F61,C$19:C$47))</f>
        <v/>
      </c>
      <c r="D61" s="10">
        <f>IF(F61&lt;0,0,SUMIF($A$19:$A$47,"&lt;="&amp;F61,D$19:D$47))</f>
        <v/>
      </c>
      <c r="E61" s="10">
        <f>IF(F61&lt;0,0,SUMIF($A$19:$A$47,"&lt;="&amp;F61,E$19:E$47))</f>
        <v/>
      </c>
      <c r="F61" t="n">
        <v>-6.571</v>
      </c>
    </row>
    <row r="62">
      <c r="A62" t="inlineStr">
        <is>
          <t>2020-05</t>
        </is>
      </c>
      <c r="B62" s="10">
        <f>IF(F62&lt;0,0,SUMIF($A$19:$A$47,"&lt;="&amp;F62,B$19:B$47))</f>
        <v/>
      </c>
      <c r="C62" s="10">
        <f>IF(F62&lt;0,0,SUMIF($A$19:$A$47,"&lt;="&amp;F62,C$19:C$47))</f>
        <v/>
      </c>
      <c r="D62" s="10">
        <f>IF(F62&lt;0,0,SUMIF($A$19:$A$47,"&lt;="&amp;F62,D$19:D$47))</f>
        <v/>
      </c>
      <c r="E62" s="10">
        <f>IF(F62&lt;0,0,SUMIF($A$19:$A$47,"&lt;="&amp;F62,E$19:E$47))</f>
        <v/>
      </c>
      <c r="F62" t="n">
        <v>-2.143</v>
      </c>
    </row>
    <row r="63">
      <c r="A63" t="inlineStr">
        <is>
          <t>2020-06</t>
        </is>
      </c>
      <c r="B63" s="10">
        <f>IF(F63&lt;0,0,SUMIF($A$19:$A$47,"&lt;="&amp;F63,B$19:B$47))</f>
        <v/>
      </c>
      <c r="C63" s="10">
        <f>IF(F63&lt;0,0,SUMIF($A$19:$A$47,"&lt;="&amp;F63,C$19:C$47))</f>
        <v/>
      </c>
      <c r="D63" s="10">
        <f>IF(F63&lt;0,0,SUMIF($A$19:$A$47,"&lt;="&amp;F63,D$19:D$47))</f>
        <v/>
      </c>
      <c r="E63" s="10">
        <f>IF(F63&lt;0,0,SUMIF($A$19:$A$47,"&lt;="&amp;F63,E$19:E$47))</f>
        <v/>
      </c>
      <c r="F63" t="n">
        <v>2.143</v>
      </c>
    </row>
    <row r="64">
      <c r="A64" t="inlineStr">
        <is>
          <t>2020-07</t>
        </is>
      </c>
      <c r="B64" s="10">
        <f>IF(F64&lt;0,0,SUMIF($A$19:$A$47,"&lt;="&amp;F64,B$19:B$47))</f>
        <v/>
      </c>
      <c r="C64" s="10">
        <f>IF(F64&lt;0,0,SUMIF($A$19:$A$47,"&lt;="&amp;F64,C$19:C$47))</f>
        <v/>
      </c>
      <c r="D64" s="10">
        <f>IF(F64&lt;0,0,SUMIF($A$19:$A$47,"&lt;="&amp;F64,D$19:D$47))</f>
        <v/>
      </c>
      <c r="E64" s="10">
        <f>IF(F64&lt;0,0,SUMIF($A$19:$A$47,"&lt;="&amp;F64,E$19:E$47))</f>
        <v/>
      </c>
      <c r="F64" t="n">
        <v>6.571</v>
      </c>
    </row>
    <row r="65">
      <c r="A65" t="inlineStr">
        <is>
          <t>2020-08</t>
        </is>
      </c>
      <c r="B65" s="10">
        <f>IF(F65&lt;0,0,SUMIF($A$19:$A$47,"&lt;="&amp;F65,B$19:B$47))</f>
        <v/>
      </c>
      <c r="C65" s="10">
        <f>IF(F65&lt;0,0,SUMIF($A$19:$A$47,"&lt;="&amp;F65,C$19:C$47))</f>
        <v/>
      </c>
      <c r="D65" s="10">
        <f>IF(F65&lt;0,0,SUMIF($A$19:$A$47,"&lt;="&amp;F65,D$19:D$47))</f>
        <v/>
      </c>
      <c r="E65" s="10">
        <f>IF(F65&lt;0,0,SUMIF($A$19:$A$47,"&lt;="&amp;F65,E$19:E$47))</f>
        <v/>
      </c>
      <c r="F65" t="n">
        <v>11</v>
      </c>
    </row>
    <row r="66">
      <c r="A66" t="inlineStr">
        <is>
          <t>2020-09</t>
        </is>
      </c>
      <c r="B66" s="10">
        <f>IF(F66&lt;0,0,SUMIF($A$19:$A$47,"&lt;="&amp;F66,B$19:B$47))</f>
        <v/>
      </c>
      <c r="C66" s="10">
        <f>IF(F66&lt;0,0,SUMIF($A$19:$A$47,"&lt;="&amp;F66,C$19:C$47))</f>
        <v/>
      </c>
      <c r="D66" s="10">
        <f>IF(F66&lt;0,0,SUMIF($A$19:$A$47,"&lt;="&amp;F66,D$19:D$47))</f>
        <v/>
      </c>
      <c r="E66" s="10">
        <f>IF(F66&lt;0,0,SUMIF($A$19:$A$47,"&lt;="&amp;F66,E$19:E$47))</f>
        <v/>
      </c>
      <c r="F66" t="n">
        <v>15.286</v>
      </c>
    </row>
    <row r="67">
      <c r="A67" t="inlineStr">
        <is>
          <t>2020-10</t>
        </is>
      </c>
      <c r="B67" s="10">
        <f>IF(F67&lt;0,0,SUMIF($A$19:$A$47,"&lt;="&amp;F67,B$19:B$47))</f>
        <v/>
      </c>
      <c r="C67" s="10">
        <f>IF(F67&lt;0,0,SUMIF($A$19:$A$47,"&lt;="&amp;F67,C$19:C$47))</f>
        <v/>
      </c>
      <c r="D67" s="10">
        <f>IF(F67&lt;0,0,SUMIF($A$19:$A$47,"&lt;="&amp;F67,D$19:D$47))</f>
        <v/>
      </c>
      <c r="E67" s="10">
        <f>IF(F67&lt;0,0,SUMIF($A$19:$A$47,"&lt;="&amp;F67,E$19:E$47))</f>
        <v/>
      </c>
      <c r="F67" t="n">
        <v>19.714</v>
      </c>
    </row>
    <row r="68">
      <c r="A68" t="inlineStr">
        <is>
          <t>2020-11</t>
        </is>
      </c>
      <c r="B68" s="10">
        <f>IF(F68&lt;0,0,SUMIF($A$19:$A$47,"&lt;="&amp;F68,B$19:B$47))</f>
        <v/>
      </c>
      <c r="C68" s="10">
        <f>IF(F68&lt;0,0,SUMIF($A$19:$A$47,"&lt;="&amp;F68,C$19:C$47))</f>
        <v/>
      </c>
      <c r="D68" s="10">
        <f>IF(F68&lt;0,0,SUMIF($A$19:$A$47,"&lt;="&amp;F68,D$19:D$47))</f>
        <v/>
      </c>
      <c r="E68" s="10">
        <f>IF(F68&lt;0,0,SUMIF($A$19:$A$47,"&lt;="&amp;F68,E$19:E$47))</f>
        <v/>
      </c>
      <c r="F68" t="n">
        <v>24</v>
      </c>
    </row>
    <row r="69">
      <c r="A69" t="inlineStr">
        <is>
          <t>2020-12</t>
        </is>
      </c>
      <c r="B69" s="10">
        <f>IF(F69&lt;0,0,SUMIF($A$19:$A$47,"&lt;="&amp;F69,B$19:B$47))</f>
        <v/>
      </c>
      <c r="C69" s="10">
        <f>IF(F69&lt;0,0,SUMIF($A$19:$A$47,"&lt;="&amp;F69,C$19:C$47))</f>
        <v/>
      </c>
      <c r="D69" s="10">
        <f>IF(F69&lt;0,0,SUMIF($A$19:$A$47,"&lt;="&amp;F69,D$19:D$47))</f>
        <v/>
      </c>
      <c r="E69" s="10">
        <f>IF(F69&lt;0,0,SUMIF($A$19:$A$47,"&lt;="&amp;F69,E$19:E$47))</f>
        <v/>
      </c>
      <c r="F69" t="n">
        <v>28.429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6" customWidth="1" min="5" max="5"/>
  </cols>
  <sheetData>
    <row r="1">
      <c r="A1" s="8" t="inlineStr">
        <is>
          <t>GDELT GKG 2.1 — tono de noticias sobre México (dato real, muestreo 2 slices/día, 1 día/mes)</t>
        </is>
      </c>
    </row>
    <row r="2">
      <c r="A2" s="6" t="inlineStr">
        <is>
          <t>Muestreo reducido respecto al plan original (4-8 slices/día) por costo de tiempo de cómputo en la sesión. CV5 R² contra el residuo del VAR: -0.21 (media) / -0.19 (varianza) — NO validó, pero se incluye en el modelo por instrucción expresa (ver Modelos!M3 y Metodologia).</t>
        </is>
      </c>
    </row>
    <row r="4">
      <c r="A4" s="5" t="inlineStr">
        <is>
          <t>Fecha</t>
        </is>
      </c>
      <c r="B4" s="5" t="inlineStr">
        <is>
          <t>n_articulos_MX</t>
        </is>
      </c>
      <c r="C4" s="5" t="inlineStr">
        <is>
          <t>tono_promedio</t>
        </is>
      </c>
      <c r="D4" s="5" t="inlineStr">
        <is>
          <t>polaridad_promedio</t>
        </is>
      </c>
      <c r="E4" s="5" t="inlineStr">
        <is>
          <t>z_tono (vs. línea base)</t>
        </is>
      </c>
    </row>
    <row r="5">
      <c r="A5" t="inlineStr">
        <is>
          <t>2017-01</t>
        </is>
      </c>
      <c r="B5" t="n">
        <v>60</v>
      </c>
      <c r="C5" t="n">
        <v>-0.4931225160757763</v>
      </c>
      <c r="D5" t="n">
        <v>5.358761312461292</v>
      </c>
      <c r="E5" s="11">
        <f>(C5-$C$54)/$C$55</f>
        <v/>
      </c>
    </row>
    <row r="6">
      <c r="A6" t="inlineStr">
        <is>
          <t>2017-02</t>
        </is>
      </c>
      <c r="B6" t="n">
        <v>157</v>
      </c>
      <c r="C6" t="n">
        <v>-0.7296807450883126</v>
      </c>
      <c r="D6" t="n">
        <v>6.078912409882959</v>
      </c>
      <c r="E6" s="11">
        <f>(C6-$C$54)/$C$55</f>
        <v/>
      </c>
    </row>
    <row r="7">
      <c r="A7" t="inlineStr">
        <is>
          <t>2017-03</t>
        </is>
      </c>
      <c r="B7" t="n">
        <v>193</v>
      </c>
      <c r="C7" t="n">
        <v>-0.0588677616626302</v>
      </c>
      <c r="D7" t="n">
        <v>5.969745565434964</v>
      </c>
      <c r="E7" s="11">
        <f>(C7-$C$54)/$C$55</f>
        <v/>
      </c>
    </row>
    <row r="8">
      <c r="A8" t="inlineStr">
        <is>
          <t>2017-04</t>
        </is>
      </c>
      <c r="B8" t="n">
        <v>77</v>
      </c>
      <c r="C8" t="n">
        <v>0.8593151454071024</v>
      </c>
      <c r="D8" t="n">
        <v>6.710738573093781</v>
      </c>
      <c r="E8" s="11">
        <f>(C8-$C$54)/$C$55</f>
        <v/>
      </c>
    </row>
    <row r="9">
      <c r="A9" t="inlineStr">
        <is>
          <t>2017-05</t>
        </is>
      </c>
      <c r="B9" t="n">
        <v>118</v>
      </c>
      <c r="C9" t="n">
        <v>-0.6856083579810718</v>
      </c>
      <c r="D9" t="n">
        <v>6.629510757797866</v>
      </c>
      <c r="E9" s="11">
        <f>(C9-$C$54)/$C$55</f>
        <v/>
      </c>
    </row>
    <row r="10">
      <c r="A10" t="inlineStr">
        <is>
          <t>2017-06</t>
        </is>
      </c>
      <c r="B10" t="n">
        <v>57</v>
      </c>
      <c r="C10" t="n">
        <v>-1.034120812357872</v>
      </c>
      <c r="D10" t="n">
        <v>6.559826568072486</v>
      </c>
      <c r="E10" s="11">
        <f>(C10-$C$54)/$C$55</f>
        <v/>
      </c>
    </row>
    <row r="11">
      <c r="A11" t="inlineStr">
        <is>
          <t>2017-07</t>
        </is>
      </c>
      <c r="B11" t="n">
        <v>116</v>
      </c>
      <c r="C11" t="n">
        <v>-1.913331525222085</v>
      </c>
      <c r="D11" t="n">
        <v>6.348098424398119</v>
      </c>
      <c r="E11" s="11">
        <f>(C11-$C$54)/$C$55</f>
        <v/>
      </c>
    </row>
    <row r="12">
      <c r="A12" t="inlineStr">
        <is>
          <t>2017-08</t>
        </is>
      </c>
      <c r="B12" t="n">
        <v>134</v>
      </c>
      <c r="C12" t="n">
        <v>-1.890044567056499</v>
      </c>
      <c r="D12" t="n">
        <v>6.890740749641253</v>
      </c>
      <c r="E12" s="11">
        <f>(C12-$C$54)/$C$55</f>
        <v/>
      </c>
    </row>
    <row r="13">
      <c r="A13" t="inlineStr">
        <is>
          <t>2017-09</t>
        </is>
      </c>
      <c r="B13" t="n">
        <v>112</v>
      </c>
      <c r="C13" t="n">
        <v>-1.355177559783302</v>
      </c>
      <c r="D13" t="n">
        <v>6.245041537151558</v>
      </c>
      <c r="E13" s="11">
        <f>(C13-$C$54)/$C$55</f>
        <v/>
      </c>
    </row>
    <row r="14">
      <c r="A14" t="inlineStr">
        <is>
          <t>2017-10</t>
        </is>
      </c>
      <c r="B14" t="n">
        <v>22</v>
      </c>
      <c r="C14" t="n">
        <v>-0.4990356973423623</v>
      </c>
      <c r="D14" t="n">
        <v>7.208546955266967</v>
      </c>
      <c r="E14" s="11">
        <f>(C14-$C$54)/$C$55</f>
        <v/>
      </c>
    </row>
    <row r="15">
      <c r="A15" t="inlineStr">
        <is>
          <t>2017-11</t>
        </is>
      </c>
      <c r="B15" t="n">
        <v>139</v>
      </c>
      <c r="C15" t="n">
        <v>-2.183147659784146</v>
      </c>
      <c r="D15" t="n">
        <v>7.044271063130797</v>
      </c>
      <c r="E15" s="11">
        <f>(C15-$C$54)/$C$55</f>
        <v/>
      </c>
    </row>
    <row r="16">
      <c r="A16" t="inlineStr">
        <is>
          <t>2017-12</t>
        </is>
      </c>
      <c r="B16" t="n">
        <v>187</v>
      </c>
      <c r="C16" t="n">
        <v>-3.593829546823934</v>
      </c>
      <c r="D16" t="n">
        <v>8.252703480661626</v>
      </c>
      <c r="E16" s="11">
        <f>(C16-$C$54)/$C$55</f>
        <v/>
      </c>
    </row>
    <row r="17">
      <c r="A17" t="inlineStr">
        <is>
          <t>2018-01</t>
        </is>
      </c>
      <c r="B17" t="n">
        <v>64</v>
      </c>
      <c r="C17" t="n">
        <v>0.7558361645160214</v>
      </c>
      <c r="D17" t="n">
        <v>6.115253110127979</v>
      </c>
      <c r="E17" s="11">
        <f>(C17-$C$54)/$C$55</f>
        <v/>
      </c>
    </row>
    <row r="18">
      <c r="A18" t="inlineStr">
        <is>
          <t>2018-02</t>
        </is>
      </c>
      <c r="B18" t="n">
        <v>81</v>
      </c>
      <c r="C18" t="n">
        <v>-0.1901616356329601</v>
      </c>
      <c r="D18" t="n">
        <v>5.757607615379855</v>
      </c>
      <c r="E18" s="11">
        <f>(C18-$C$54)/$C$55</f>
        <v/>
      </c>
    </row>
    <row r="19">
      <c r="A19" t="inlineStr">
        <is>
          <t>2018-03</t>
        </is>
      </c>
      <c r="B19" t="n">
        <v>109</v>
      </c>
      <c r="C19" t="n">
        <v>-0.6237123647768807</v>
      </c>
      <c r="D19" t="n">
        <v>5.508833136096072</v>
      </c>
      <c r="E19" s="11">
        <f>(C19-$C$54)/$C$55</f>
        <v/>
      </c>
    </row>
    <row r="20">
      <c r="A20" t="inlineStr">
        <is>
          <t>2018-04</t>
        </is>
      </c>
      <c r="B20" t="n">
        <v>39</v>
      </c>
      <c r="C20" t="n">
        <v>-1.471220561491105</v>
      </c>
      <c r="D20" t="n">
        <v>6.583537207474672</v>
      </c>
      <c r="E20" s="11">
        <f>(C20-$C$54)/$C$55</f>
        <v/>
      </c>
    </row>
    <row r="21">
      <c r="A21" t="inlineStr">
        <is>
          <t>2018-05</t>
        </is>
      </c>
      <c r="B21" t="n">
        <v>211</v>
      </c>
      <c r="C21" t="n">
        <v>-1.94198162055153</v>
      </c>
      <c r="D21" t="n">
        <v>6.587485346903353</v>
      </c>
      <c r="E21" s="11">
        <f>(C21-$C$54)/$C$55</f>
        <v/>
      </c>
    </row>
    <row r="22">
      <c r="A22" t="inlineStr">
        <is>
          <t>2018-06</t>
        </is>
      </c>
      <c r="B22" t="n">
        <v>230</v>
      </c>
      <c r="C22" t="n">
        <v>-1.959894470916658</v>
      </c>
      <c r="D22" t="n">
        <v>6.710814229513315</v>
      </c>
      <c r="E22" s="11">
        <f>(C22-$C$54)/$C$55</f>
        <v/>
      </c>
    </row>
    <row r="23">
      <c r="A23" t="inlineStr">
        <is>
          <t>2018-07</t>
        </is>
      </c>
      <c r="B23" t="n">
        <v>118</v>
      </c>
      <c r="C23" t="n">
        <v>-2.860100086830052</v>
      </c>
      <c r="D23" t="n">
        <v>6.7406751359655</v>
      </c>
      <c r="E23" s="11">
        <f>(C23-$C$54)/$C$55</f>
        <v/>
      </c>
    </row>
    <row r="24">
      <c r="A24" t="inlineStr">
        <is>
          <t>2018-08</t>
        </is>
      </c>
      <c r="B24" t="n">
        <v>228</v>
      </c>
      <c r="C24" t="n">
        <v>-2.751857544732912</v>
      </c>
      <c r="D24" t="n">
        <v>6.014764938451347</v>
      </c>
      <c r="E24" s="11">
        <f>(C24-$C$54)/$C$55</f>
        <v/>
      </c>
    </row>
    <row r="25">
      <c r="A25" t="inlineStr">
        <is>
          <t>2018-09</t>
        </is>
      </c>
      <c r="B25" t="n">
        <v>149</v>
      </c>
      <c r="C25" t="n">
        <v>-1.567781184462764</v>
      </c>
      <c r="D25" t="n">
        <v>6.926222046668765</v>
      </c>
      <c r="E25" s="11">
        <f>(C25-$C$54)/$C$55</f>
        <v/>
      </c>
    </row>
    <row r="26">
      <c r="A26" t="inlineStr">
        <is>
          <t>2018-10</t>
        </is>
      </c>
      <c r="B26" t="n">
        <v>110</v>
      </c>
      <c r="C26" t="n">
        <v>0.0756746235882593</v>
      </c>
      <c r="D26" t="n">
        <v>6.405565327705869</v>
      </c>
      <c r="E26" s="11">
        <f>(C26-$C$54)/$C$55</f>
        <v/>
      </c>
    </row>
    <row r="27">
      <c r="A27" t="inlineStr">
        <is>
          <t>2018-11</t>
        </is>
      </c>
      <c r="B27" t="n">
        <v>162</v>
      </c>
      <c r="C27" t="n">
        <v>-1.290758737874272</v>
      </c>
      <c r="D27" t="n">
        <v>5.377412048915114</v>
      </c>
      <c r="E27" s="11">
        <f>(C27-$C$54)/$C$55</f>
        <v/>
      </c>
    </row>
    <row r="28">
      <c r="A28" t="inlineStr">
        <is>
          <t>2018-12</t>
        </is>
      </c>
      <c r="B28" t="n">
        <v>66</v>
      </c>
      <c r="C28" t="n">
        <v>0.0103659687871135</v>
      </c>
      <c r="D28" t="n">
        <v>5.795922243681521</v>
      </c>
      <c r="E28" s="11">
        <f>(C28-$C$54)/$C$55</f>
        <v/>
      </c>
    </row>
    <row r="29">
      <c r="A29" t="inlineStr">
        <is>
          <t>2019-01</t>
        </is>
      </c>
      <c r="B29" t="n">
        <v>63</v>
      </c>
      <c r="C29" t="n">
        <v>-1.670000234073746</v>
      </c>
      <c r="D29" t="n">
        <v>6.002580370344415</v>
      </c>
      <c r="E29" s="11">
        <f>(C29-$C$54)/$C$55</f>
        <v/>
      </c>
    </row>
    <row r="30">
      <c r="A30" t="inlineStr">
        <is>
          <t>2019-02</t>
        </is>
      </c>
      <c r="B30" t="n">
        <v>120</v>
      </c>
      <c r="C30" t="n">
        <v>-2.480617587140957</v>
      </c>
      <c r="D30" t="n">
        <v>6.730360119226183</v>
      </c>
      <c r="E30" s="11">
        <f>(C30-$C$54)/$C$55</f>
        <v/>
      </c>
    </row>
    <row r="31">
      <c r="A31" t="inlineStr">
        <is>
          <t>2019-03</t>
        </is>
      </c>
      <c r="B31" t="n">
        <v>124</v>
      </c>
      <c r="C31" t="n">
        <v>-2.544721531478891</v>
      </c>
      <c r="D31" t="n">
        <v>6.972438147530912</v>
      </c>
      <c r="E31" s="11">
        <f>(C31-$C$54)/$C$55</f>
        <v/>
      </c>
    </row>
    <row r="32">
      <c r="A32" t="inlineStr">
        <is>
          <t>2019-04</t>
        </is>
      </c>
      <c r="B32" t="n">
        <v>89</v>
      </c>
      <c r="C32" t="n">
        <v>-1.561593171878285</v>
      </c>
      <c r="D32" t="n">
        <v>5.915887299497734</v>
      </c>
      <c r="E32" s="11">
        <f>(C32-$C$54)/$C$55</f>
        <v/>
      </c>
    </row>
    <row r="33">
      <c r="A33" t="inlineStr">
        <is>
          <t>2019-05</t>
        </is>
      </c>
      <c r="B33" t="n">
        <v>107</v>
      </c>
      <c r="C33" t="n">
        <v>-0.7220100467898701</v>
      </c>
      <c r="D33" t="n">
        <v>6.016752320389493</v>
      </c>
      <c r="E33" s="11">
        <f>(C33-$C$54)/$C$55</f>
        <v/>
      </c>
    </row>
    <row r="34">
      <c r="A34" t="inlineStr">
        <is>
          <t>2019-06</t>
        </is>
      </c>
      <c r="B34" t="n">
        <v>131</v>
      </c>
      <c r="C34" t="n">
        <v>-2.42060868658433</v>
      </c>
      <c r="D34" t="n">
        <v>6.547635358786481</v>
      </c>
      <c r="E34" s="11">
        <f>(C34-$C$54)/$C$55</f>
        <v/>
      </c>
    </row>
    <row r="35">
      <c r="A35" t="inlineStr">
        <is>
          <t>2019-07</t>
        </is>
      </c>
      <c r="B35" t="n">
        <v>63</v>
      </c>
      <c r="C35" t="n">
        <v>-0.8389582887747113</v>
      </c>
      <c r="D35" t="n">
        <v>5.947076105226912</v>
      </c>
      <c r="E35" s="11">
        <f>(C35-$C$54)/$C$55</f>
        <v/>
      </c>
    </row>
    <row r="36">
      <c r="A36" t="inlineStr">
        <is>
          <t>2019-08</t>
        </is>
      </c>
      <c r="B36" t="n">
        <v>75</v>
      </c>
      <c r="C36" t="n">
        <v>-1.810697390766078</v>
      </c>
      <c r="D36" t="n">
        <v>6.20140619485226</v>
      </c>
      <c r="E36" s="11">
        <f>(C36-$C$54)/$C$55</f>
        <v/>
      </c>
    </row>
    <row r="37">
      <c r="A37" t="inlineStr">
        <is>
          <t>2019-09</t>
        </is>
      </c>
      <c r="B37" t="n">
        <v>19</v>
      </c>
      <c r="C37" t="n">
        <v>-2.423203760100778</v>
      </c>
      <c r="D37" t="n">
        <v>6.993280922893422</v>
      </c>
      <c r="E37" s="11">
        <f>(C37-$C$54)/$C$55</f>
        <v/>
      </c>
    </row>
    <row r="38">
      <c r="A38" t="inlineStr">
        <is>
          <t>2019-10</t>
        </is>
      </c>
      <c r="B38" t="n">
        <v>65</v>
      </c>
      <c r="C38" t="n">
        <v>-0.6300930150334653</v>
      </c>
      <c r="D38" t="n">
        <v>5.777288617831823</v>
      </c>
      <c r="E38" s="11">
        <f>(C38-$C$54)/$C$55</f>
        <v/>
      </c>
    </row>
    <row r="39">
      <c r="A39" t="inlineStr">
        <is>
          <t>2019-11</t>
        </is>
      </c>
      <c r="B39" t="n">
        <v>19</v>
      </c>
      <c r="C39" t="n">
        <v>-0.009583894531759</v>
      </c>
      <c r="D39" t="n">
        <v>5.701811552149688</v>
      </c>
      <c r="E39" s="11">
        <f>(C39-$C$54)/$C$55</f>
        <v/>
      </c>
    </row>
    <row r="40">
      <c r="A40" t="inlineStr">
        <is>
          <t>2019-12</t>
        </is>
      </c>
      <c r="B40" t="n">
        <v>14</v>
      </c>
      <c r="C40" t="n">
        <v>-2.430379066376628</v>
      </c>
      <c r="D40" t="n">
        <v>6.325220472778017</v>
      </c>
      <c r="E40" s="11">
        <f>(C40-$C$54)/$C$55</f>
        <v/>
      </c>
    </row>
    <row r="41">
      <c r="A41" t="inlineStr">
        <is>
          <t>2020-01</t>
        </is>
      </c>
      <c r="B41" t="n">
        <v>26</v>
      </c>
      <c r="C41" t="n">
        <v>-2.308329669549415</v>
      </c>
      <c r="D41" t="n">
        <v>7.015551821497819</v>
      </c>
      <c r="E41" s="11">
        <f>(C41-$C$54)/$C$55</f>
        <v/>
      </c>
    </row>
    <row r="42">
      <c r="A42" t="inlineStr">
        <is>
          <t>2020-02</t>
        </is>
      </c>
      <c r="B42" t="n">
        <v>43</v>
      </c>
      <c r="C42" t="n">
        <v>-0.8483434705798453</v>
      </c>
      <c r="D42" t="n">
        <v>5.654704367340341</v>
      </c>
      <c r="E42" s="11">
        <f>(C42-$C$54)/$C$55</f>
        <v/>
      </c>
    </row>
    <row r="43">
      <c r="A43" t="inlineStr">
        <is>
          <t>2020-03</t>
        </is>
      </c>
      <c r="B43" t="n">
        <v>87</v>
      </c>
      <c r="C43" t="n">
        <v>-3.934440824547907</v>
      </c>
      <c r="D43" t="n">
        <v>7.837537957073748</v>
      </c>
      <c r="E43" s="11">
        <f>(C43-$C$54)/$C$55</f>
        <v/>
      </c>
    </row>
    <row r="44">
      <c r="A44" t="inlineStr">
        <is>
          <t>2020-04</t>
        </is>
      </c>
      <c r="B44" t="n">
        <v>68</v>
      </c>
      <c r="C44" t="n">
        <v>-1.572869325629335</v>
      </c>
      <c r="D44" t="n">
        <v>6.782495443133234</v>
      </c>
      <c r="E44" s="11">
        <f>(C44-$C$54)/$C$55</f>
        <v/>
      </c>
    </row>
    <row r="45">
      <c r="A45" t="inlineStr">
        <is>
          <t>2020-05</t>
        </is>
      </c>
      <c r="B45" t="n">
        <v>59</v>
      </c>
      <c r="C45" t="n">
        <v>-0.520421783817123</v>
      </c>
      <c r="D45" t="n">
        <v>5.995356302610544</v>
      </c>
      <c r="E45" s="11">
        <f>(C45-$C$54)/$C$55</f>
        <v/>
      </c>
    </row>
    <row r="46">
      <c r="A46" t="inlineStr">
        <is>
          <t>2020-06</t>
        </is>
      </c>
      <c r="B46" t="n">
        <v>46</v>
      </c>
      <c r="C46" t="n">
        <v>-1.556061847761224</v>
      </c>
      <c r="D46" t="n">
        <v>6.768564038658753</v>
      </c>
      <c r="E46" s="11">
        <f>(C46-$C$54)/$C$55</f>
        <v/>
      </c>
    </row>
    <row r="47">
      <c r="A47" t="inlineStr">
        <is>
          <t>2020-07</t>
        </is>
      </c>
      <c r="B47" t="n">
        <v>65</v>
      </c>
      <c r="C47" t="n">
        <v>-0.3175747713473446</v>
      </c>
      <c r="D47" t="n">
        <v>5.654212522484221</v>
      </c>
      <c r="E47" s="11">
        <f>(C47-$C$54)/$C$55</f>
        <v/>
      </c>
    </row>
    <row r="48">
      <c r="A48" t="inlineStr">
        <is>
          <t>2020-08</t>
        </is>
      </c>
      <c r="B48" t="n">
        <v>59</v>
      </c>
      <c r="C48" t="n">
        <v>-1.720393735674649</v>
      </c>
      <c r="D48" t="n">
        <v>6.618330154013988</v>
      </c>
      <c r="E48" s="11">
        <f>(C48-$C$54)/$C$55</f>
        <v/>
      </c>
    </row>
    <row r="49">
      <c r="A49" t="inlineStr">
        <is>
          <t>2020-09</t>
        </is>
      </c>
      <c r="B49" t="n">
        <v>54</v>
      </c>
      <c r="C49" t="n">
        <v>-0.9349881663717352</v>
      </c>
      <c r="D49" t="n">
        <v>5.899752954575639</v>
      </c>
      <c r="E49" s="11">
        <f>(C49-$C$54)/$C$55</f>
        <v/>
      </c>
    </row>
    <row r="50">
      <c r="A50" t="inlineStr">
        <is>
          <t>2020-10</t>
        </is>
      </c>
      <c r="B50" t="n">
        <v>45</v>
      </c>
      <c r="C50" t="n">
        <v>-0.4359043800901701</v>
      </c>
      <c r="D50" t="n">
        <v>5.922362106185409</v>
      </c>
      <c r="E50" s="11">
        <f>(C50-$C$54)/$C$55</f>
        <v/>
      </c>
    </row>
    <row r="51">
      <c r="A51" t="inlineStr">
        <is>
          <t>2020-11</t>
        </is>
      </c>
      <c r="B51" t="n">
        <v>15</v>
      </c>
      <c r="C51" t="n">
        <v>-2.402896426119903</v>
      </c>
      <c r="D51" t="n">
        <v>7.47626731176307</v>
      </c>
      <c r="E51" s="11">
        <f>(C51-$C$54)/$C$55</f>
        <v/>
      </c>
    </row>
    <row r="52">
      <c r="A52" t="inlineStr">
        <is>
          <t>2020-12</t>
        </is>
      </c>
      <c r="B52" t="n">
        <v>53</v>
      </c>
      <c r="C52" t="n">
        <v>-1.032523171630783</v>
      </c>
      <c r="D52" t="n">
        <v>5.922010858155256</v>
      </c>
      <c r="E52" s="11">
        <f>(C52-$C$54)/$C$55</f>
        <v/>
      </c>
    </row>
    <row r="54">
      <c r="A54" t="inlineStr">
        <is>
          <t>Línea base 2017-2019 (media)</t>
        </is>
      </c>
      <c r="C54">
        <f>AVERAGE(C5:C40)</f>
        <v/>
      </c>
    </row>
    <row r="55">
      <c r="A55" t="inlineStr">
        <is>
          <t>Línea base 2017-2019 (desv. estándar)</t>
        </is>
      </c>
      <c r="C55">
        <f>STDEV(C5:C40)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8" t="inlineStr">
        <is>
          <t>Modelos M0-M3 — mediana y bandas de incertidumbre, abril-diciembre 2020</t>
        </is>
      </c>
    </row>
    <row r="2">
      <c r="A2" s="6" t="inlineStr">
        <is>
          <t>M0/M1/M2 = salida de simulación Monte Carlo (Python, valores pegados). M3 = fórmula EN VIVO: M2 + ajuste por escenarios epidemiológicos (hoja COVID_Escenarios) + ajuste por GDELT (hoja GDELT), con coeficientes editables abajo.</t>
        </is>
      </c>
    </row>
    <row r="4">
      <c r="A4" s="3" t="inlineStr">
        <is>
          <t>Coeficientes de M3 (editables)</t>
        </is>
      </c>
    </row>
    <row r="5">
      <c r="A5" t="inlineStr">
        <is>
          <t>TILT_COEF (inclinación por escenario epi, fracción de sqrt(s0))</t>
        </is>
      </c>
      <c r="C5" t="n">
        <v>0.3</v>
      </c>
    </row>
    <row r="6">
      <c r="A6" t="inlineStr">
        <is>
          <t>VAR_COEF (varianza por dispersión de escenarios)</t>
        </is>
      </c>
      <c r="C6" t="n">
        <v>0.3</v>
      </c>
    </row>
    <row r="7">
      <c r="A7" t="inlineStr">
        <is>
          <t>GDELT_TILT_COEF (inclinación por z-score GDELT)</t>
        </is>
      </c>
      <c r="C7" t="n">
        <v>0.3</v>
      </c>
    </row>
    <row r="8">
      <c r="A8" t="inlineStr">
        <is>
          <t>GDELT_VAR_COEF (varianza por |z-score| GDELT)</t>
        </is>
      </c>
      <c r="C8" t="n">
        <v>0.25</v>
      </c>
    </row>
    <row r="9">
      <c r="A9" t="inlineStr">
        <is>
          <t>s0 (varianza del residuo más reciente del VAR, marzo 2020 — ancla real)</t>
        </is>
      </c>
      <c r="C9" t="n">
        <v>0.0011994175</v>
      </c>
    </row>
    <row r="11">
      <c r="A11" s="5" t="inlineStr">
        <is>
          <t>Fecha</t>
        </is>
      </c>
      <c r="B11" s="5" t="inlineStr">
        <is>
          <t>M0_p05</t>
        </is>
      </c>
      <c r="C11" s="5" t="inlineStr">
        <is>
          <t>M0_p25</t>
        </is>
      </c>
      <c r="D11" s="5" t="inlineStr">
        <is>
          <t>M0_mediana</t>
        </is>
      </c>
      <c r="E11" s="5" t="inlineStr">
        <is>
          <t>M0_p75</t>
        </is>
      </c>
      <c r="F11" s="5" t="inlineStr">
        <is>
          <t>M0_p95</t>
        </is>
      </c>
      <c r="G11" s="5" t="inlineStr">
        <is>
          <t>M1_p05</t>
        </is>
      </c>
      <c r="H11" s="5" t="inlineStr">
        <is>
          <t>M1_p25</t>
        </is>
      </c>
      <c r="I11" s="5" t="inlineStr">
        <is>
          <t>M1_mediana</t>
        </is>
      </c>
      <c r="J11" s="5" t="inlineStr">
        <is>
          <t>M1_p75</t>
        </is>
      </c>
      <c r="K11" s="5" t="inlineStr">
        <is>
          <t>M1_p95</t>
        </is>
      </c>
      <c r="L11" s="5" t="inlineStr">
        <is>
          <t>M2_p05</t>
        </is>
      </c>
      <c r="M11" s="5" t="inlineStr">
        <is>
          <t>M2_p25</t>
        </is>
      </c>
      <c r="N11" s="5" t="inlineStr">
        <is>
          <t>M2_mediana</t>
        </is>
      </c>
      <c r="O11" s="5" t="inlineStr">
        <is>
          <t>M2_p75</t>
        </is>
      </c>
      <c r="P11" s="5" t="inlineStr">
        <is>
          <t>M2_p95</t>
        </is>
      </c>
      <c r="Q11" s="5" t="inlineStr">
        <is>
          <t>M3_p05</t>
        </is>
      </c>
      <c r="R11" s="5" t="inlineStr">
        <is>
          <t>M3_p25</t>
        </is>
      </c>
      <c r="S11" s="5" t="inlineStr">
        <is>
          <t>M3_mediana</t>
        </is>
      </c>
      <c r="T11" s="5" t="inlineStr">
        <is>
          <t>M3_p75</t>
        </is>
      </c>
      <c r="U11" s="5" t="inlineStr">
        <is>
          <t>M3_p95</t>
        </is>
      </c>
      <c r="V11" s="5" t="inlineStr">
        <is>
          <t>IGAE_observado</t>
        </is>
      </c>
    </row>
    <row r="12">
      <c r="A12" t="inlineStr">
        <is>
          <t>2020-04</t>
        </is>
      </c>
      <c r="B12" s="7" t="n">
        <v>-0.0121244251412816</v>
      </c>
      <c r="C12" s="7" t="n">
        <v>-0.0051611334173667</v>
      </c>
      <c r="D12" s="7" t="n">
        <v>-0.0005093003393679</v>
      </c>
      <c r="E12" s="7" t="n">
        <v>0.0044677606578541</v>
      </c>
      <c r="F12" s="7" t="n">
        <v>0.0123045140930791</v>
      </c>
      <c r="G12" s="7" t="n">
        <v>-0.0165636889623357</v>
      </c>
      <c r="H12" s="7" t="n">
        <v>-0.0055420143618719</v>
      </c>
      <c r="I12" s="7" t="n">
        <v>3.28134707066377e-05</v>
      </c>
      <c r="J12" s="7" t="n">
        <v>0.0046365585651057</v>
      </c>
      <c r="K12" s="7" t="n">
        <v>0.0139247006238389</v>
      </c>
      <c r="L12" s="7" t="n">
        <v>-0.0151059825201313</v>
      </c>
      <c r="M12" s="7" t="n">
        <v>-0.0055842178888922</v>
      </c>
      <c r="N12" s="7" t="n">
        <v>-0.0003438452114917</v>
      </c>
      <c r="O12" s="7" t="n">
        <v>0.004634601259069</v>
      </c>
      <c r="P12" s="7" t="n">
        <v>0.0131117400536218</v>
      </c>
      <c r="Q12" s="7">
        <f>L12+(-$C$5*SQRT($C$9)*SUMPRODUCT(TRANSPOSE(COVID_Escenarios!$C$53:$C$56),TANH(COVID_Escenarios!B61:E61)))+(-$C$7*SQRT($C$9)*TANH(INDEX(GDELT!$E$5:$E$52,MATCH(A12,GDELT!$A$5:$A$52,0))))-1.645*SQRT(($C$6*SQRT($C$9)*SUMPRODUCT(TRANSPOSE(COVID_Escenarios!$C$53:$C$56),TANH(ABS(COVID_Escenarios!B61:E61-MIN(COVID_Escenarios!B61:E61)))))^2+($C$8*SQRT($C$9)*TANH(ABS(INDEX(GDELT!$E$5:$E$52,MATCH(A12,GDELT!$A$5:$A$52,0)))))^2)</f>
        <v/>
      </c>
      <c r="R12" s="7">
        <f>M12+(-$C$5*SQRT($C$9)*SUMPRODUCT(TRANSPOSE(COVID_Escenarios!$C$53:$C$56),TANH(COVID_Escenarios!B61:E61)))+(-$C$7*SQRT($C$9)*TANH(INDEX(GDELT!$E$5:$E$52,MATCH(A12,GDELT!$A$5:$A$52,0))))-0.675*SQRT(($C$6*SQRT($C$9)*SUMPRODUCT(TRANSPOSE(COVID_Escenarios!$C$53:$C$56),TANH(ABS(COVID_Escenarios!B61:E61-MIN(COVID_Escenarios!B61:E61)))))^2+($C$8*SQRT($C$9)*TANH(ABS(INDEX(GDELT!$E$5:$E$52,MATCH(A12,GDELT!$A$5:$A$52,0)))))^2)</f>
        <v/>
      </c>
      <c r="S12" s="7">
        <f>N12+(-$C$5*SQRT($C$9)*SUMPRODUCT(TRANSPOSE(COVID_Escenarios!$C$53:$C$56),TANH(COVID_Escenarios!B61:E61)))+(-$C$7*SQRT($C$9)*TANH(INDEX(GDELT!$E$5:$E$52,MATCH(A12,GDELT!$A$5:$A$52,0))))</f>
        <v/>
      </c>
      <c r="T12" s="7">
        <f>O12+(-$C$5*SQRT($C$9)*SUMPRODUCT(TRANSPOSE(COVID_Escenarios!$C$53:$C$56),TANH(COVID_Escenarios!B61:E61)))+(-$C$7*SQRT($C$9)*TANH(INDEX(GDELT!$E$5:$E$52,MATCH(A12,GDELT!$A$5:$A$52,0))))+0.675*SQRT(($C$6*SQRT($C$9)*SUMPRODUCT(TRANSPOSE(COVID_Escenarios!$C$53:$C$56),TANH(ABS(COVID_Escenarios!B61:E61-MIN(COVID_Escenarios!B61:E61)))))^2+($C$8*SQRT($C$9)*TANH(ABS(INDEX(GDELT!$E$5:$E$52,MATCH(A12,GDELT!$A$5:$A$52,0)))))^2)</f>
        <v/>
      </c>
      <c r="U12" s="7">
        <f>P12+(-$C$5*SQRT($C$9)*SUMPRODUCT(TRANSPOSE(COVID_Escenarios!$C$53:$C$56),TANH(COVID_Escenarios!B61:E61)))+(-$C$7*SQRT($C$9)*TANH(INDEX(GDELT!$E$5:$E$52,MATCH(A12,GDELT!$A$5:$A$52,0))))+1.645*SQRT(($C$6*SQRT($C$9)*SUMPRODUCT(TRANSPOSE(COVID_Escenarios!$C$53:$C$56),TANH(ABS(COVID_Escenarios!B61:E61-MIN(COVID_Escenarios!B61:E61)))))^2+($C$8*SQRT($C$9)*TANH(ABS(INDEX(GDELT!$E$5:$E$52,MATCH(A12,GDELT!$A$5:$A$52,0)))))^2)</f>
        <v/>
      </c>
      <c r="V12" s="7" t="n">
        <v>-0.2091361646514755</v>
      </c>
    </row>
    <row r="13">
      <c r="A13" t="inlineStr">
        <is>
          <t>2020-05</t>
        </is>
      </c>
      <c r="B13" s="7" t="n">
        <v>-0.0153240990136404</v>
      </c>
      <c r="C13" s="7" t="n">
        <v>-0.008417766517566001</v>
      </c>
      <c r="D13" s="7" t="n">
        <v>-0.0032973677503811</v>
      </c>
      <c r="E13" s="7" t="n">
        <v>0.0014388068294257</v>
      </c>
      <c r="F13" s="7" t="n">
        <v>0.0087468921396292</v>
      </c>
      <c r="G13" s="7" t="n">
        <v>-0.0166825656544731</v>
      </c>
      <c r="H13" s="7" t="n">
        <v>-0.0076402960230823</v>
      </c>
      <c r="I13" s="7" t="n">
        <v>-0.0030748137090307</v>
      </c>
      <c r="J13" s="7" t="n">
        <v>0.0016319135918219</v>
      </c>
      <c r="K13" s="7" t="n">
        <v>0.011175012138725</v>
      </c>
      <c r="L13" s="7" t="n">
        <v>-0.0164105250796719</v>
      </c>
      <c r="M13" s="7" t="n">
        <v>-0.0075479142535926</v>
      </c>
      <c r="N13" s="7" t="n">
        <v>-0.0031016074036154</v>
      </c>
      <c r="O13" s="7" t="n">
        <v>0.0015880106487017</v>
      </c>
      <c r="P13" s="7" t="n">
        <v>0.0097450499979663</v>
      </c>
      <c r="Q13" s="7">
        <f>L13+(-$C$5*SQRT($C$9)*SUMPRODUCT(TRANSPOSE(COVID_Escenarios!$C$53:$C$56),TANH(COVID_Escenarios!B62:E62)))+(-$C$7*SQRT($C$9)*TANH(INDEX(GDELT!$E$5:$E$52,MATCH(A13,GDELT!$A$5:$A$52,0))))-1.645*SQRT(($C$6*SQRT($C$9)*SUMPRODUCT(TRANSPOSE(COVID_Escenarios!$C$53:$C$56),TANH(ABS(COVID_Escenarios!B62:E62-MIN(COVID_Escenarios!B62:E62)))))^2+($C$8*SQRT($C$9)*TANH(ABS(INDEX(GDELT!$E$5:$E$52,MATCH(A13,GDELT!$A$5:$A$52,0)))))^2)</f>
        <v/>
      </c>
      <c r="R13" s="7">
        <f>M13+(-$C$5*SQRT($C$9)*SUMPRODUCT(TRANSPOSE(COVID_Escenarios!$C$53:$C$56),TANH(COVID_Escenarios!B62:E62)))+(-$C$7*SQRT($C$9)*TANH(INDEX(GDELT!$E$5:$E$52,MATCH(A13,GDELT!$A$5:$A$52,0))))-0.675*SQRT(($C$6*SQRT($C$9)*SUMPRODUCT(TRANSPOSE(COVID_Escenarios!$C$53:$C$56),TANH(ABS(COVID_Escenarios!B62:E62-MIN(COVID_Escenarios!B62:E62)))))^2+($C$8*SQRT($C$9)*TANH(ABS(INDEX(GDELT!$E$5:$E$52,MATCH(A13,GDELT!$A$5:$A$52,0)))))^2)</f>
        <v/>
      </c>
      <c r="S13" s="7">
        <f>N13+(-$C$5*SQRT($C$9)*SUMPRODUCT(TRANSPOSE(COVID_Escenarios!$C$53:$C$56),TANH(COVID_Escenarios!B62:E62)))+(-$C$7*SQRT($C$9)*TANH(INDEX(GDELT!$E$5:$E$52,MATCH(A13,GDELT!$A$5:$A$52,0))))</f>
        <v/>
      </c>
      <c r="T13" s="7">
        <f>O13+(-$C$5*SQRT($C$9)*SUMPRODUCT(TRANSPOSE(COVID_Escenarios!$C$53:$C$56),TANH(COVID_Escenarios!B62:E62)))+(-$C$7*SQRT($C$9)*TANH(INDEX(GDELT!$E$5:$E$52,MATCH(A13,GDELT!$A$5:$A$52,0))))+0.675*SQRT(($C$6*SQRT($C$9)*SUMPRODUCT(TRANSPOSE(COVID_Escenarios!$C$53:$C$56),TANH(ABS(COVID_Escenarios!B62:E62-MIN(COVID_Escenarios!B62:E62)))))^2+($C$8*SQRT($C$9)*TANH(ABS(INDEX(GDELT!$E$5:$E$52,MATCH(A13,GDELT!$A$5:$A$52,0)))))^2)</f>
        <v/>
      </c>
      <c r="U13" s="7">
        <f>P13+(-$C$5*SQRT($C$9)*SUMPRODUCT(TRANSPOSE(COVID_Escenarios!$C$53:$C$56),TANH(COVID_Escenarios!B62:E62)))+(-$C$7*SQRT($C$9)*TANH(INDEX(GDELT!$E$5:$E$52,MATCH(A13,GDELT!$A$5:$A$52,0))))+1.645*SQRT(($C$6*SQRT($C$9)*SUMPRODUCT(TRANSPOSE(COVID_Escenarios!$C$53:$C$56),TANH(ABS(COVID_Escenarios!B62:E62-MIN(COVID_Escenarios!B62:E62)))))^2+($C$8*SQRT($C$9)*TANH(ABS(INDEX(GDELT!$E$5:$E$52,MATCH(A13,GDELT!$A$5:$A$52,0)))))^2)</f>
        <v/>
      </c>
      <c r="V13" s="7" t="n">
        <v>-0.0188339457784225</v>
      </c>
    </row>
    <row r="14">
      <c r="A14" t="inlineStr">
        <is>
          <t>2020-06</t>
        </is>
      </c>
      <c r="B14" s="7" t="n">
        <v>-0.0148712036418519</v>
      </c>
      <c r="C14" s="7" t="n">
        <v>-0.007969507902277399</v>
      </c>
      <c r="D14" s="7" t="n">
        <v>-0.0033079400282297</v>
      </c>
      <c r="E14" s="7" t="n">
        <v>0.0016714920237379</v>
      </c>
      <c r="F14" s="7" t="n">
        <v>0.0085197336262549</v>
      </c>
      <c r="G14" s="7" t="n">
        <v>-0.0158217330824945</v>
      </c>
      <c r="H14" s="7" t="n">
        <v>-0.0076353290490387</v>
      </c>
      <c r="I14" s="7" t="n">
        <v>-0.003224590442763</v>
      </c>
      <c r="J14" s="7" t="n">
        <v>0.0012485788626563</v>
      </c>
      <c r="K14" s="7" t="n">
        <v>0.009864328760492201</v>
      </c>
      <c r="L14" s="7" t="n">
        <v>-0.0164386802454755</v>
      </c>
      <c r="M14" s="7" t="n">
        <v>-0.0077227544046478</v>
      </c>
      <c r="N14" s="7" t="n">
        <v>-0.0033868014482057</v>
      </c>
      <c r="O14" s="7" t="n">
        <v>0.0006466377366421</v>
      </c>
      <c r="P14" s="7" t="n">
        <v>0.009134274370595699</v>
      </c>
      <c r="Q14" s="7">
        <f>L14+(-$C$5*SQRT($C$9)*SUMPRODUCT(TRANSPOSE(COVID_Escenarios!$C$53:$C$56),TANH(COVID_Escenarios!B63:E63)))+(-$C$7*SQRT($C$9)*TANH(INDEX(GDELT!$E$5:$E$52,MATCH(A14,GDELT!$A$5:$A$52,0))))-1.645*SQRT(($C$6*SQRT($C$9)*SUMPRODUCT(TRANSPOSE(COVID_Escenarios!$C$53:$C$56),TANH(ABS(COVID_Escenarios!B63:E63-MIN(COVID_Escenarios!B63:E63)))))^2+($C$8*SQRT($C$9)*TANH(ABS(INDEX(GDELT!$E$5:$E$52,MATCH(A14,GDELT!$A$5:$A$52,0)))))^2)</f>
        <v/>
      </c>
      <c r="R14" s="7">
        <f>M14+(-$C$5*SQRT($C$9)*SUMPRODUCT(TRANSPOSE(COVID_Escenarios!$C$53:$C$56),TANH(COVID_Escenarios!B63:E63)))+(-$C$7*SQRT($C$9)*TANH(INDEX(GDELT!$E$5:$E$52,MATCH(A14,GDELT!$A$5:$A$52,0))))-0.675*SQRT(($C$6*SQRT($C$9)*SUMPRODUCT(TRANSPOSE(COVID_Escenarios!$C$53:$C$56),TANH(ABS(COVID_Escenarios!B63:E63-MIN(COVID_Escenarios!B63:E63)))))^2+($C$8*SQRT($C$9)*TANH(ABS(INDEX(GDELT!$E$5:$E$52,MATCH(A14,GDELT!$A$5:$A$52,0)))))^2)</f>
        <v/>
      </c>
      <c r="S14" s="7">
        <f>N14+(-$C$5*SQRT($C$9)*SUMPRODUCT(TRANSPOSE(COVID_Escenarios!$C$53:$C$56),TANH(COVID_Escenarios!B63:E63)))+(-$C$7*SQRT($C$9)*TANH(INDEX(GDELT!$E$5:$E$52,MATCH(A14,GDELT!$A$5:$A$52,0))))</f>
        <v/>
      </c>
      <c r="T14" s="7">
        <f>O14+(-$C$5*SQRT($C$9)*SUMPRODUCT(TRANSPOSE(COVID_Escenarios!$C$53:$C$56),TANH(COVID_Escenarios!B63:E63)))+(-$C$7*SQRT($C$9)*TANH(INDEX(GDELT!$E$5:$E$52,MATCH(A14,GDELT!$A$5:$A$52,0))))+0.675*SQRT(($C$6*SQRT($C$9)*SUMPRODUCT(TRANSPOSE(COVID_Escenarios!$C$53:$C$56),TANH(ABS(COVID_Escenarios!B63:E63-MIN(COVID_Escenarios!B63:E63)))))^2+($C$8*SQRT($C$9)*TANH(ABS(INDEX(GDELT!$E$5:$E$52,MATCH(A14,GDELT!$A$5:$A$52,0)))))^2)</f>
        <v/>
      </c>
      <c r="U14" s="7">
        <f>P14+(-$C$5*SQRT($C$9)*SUMPRODUCT(TRANSPOSE(COVID_Escenarios!$C$53:$C$56),TANH(COVID_Escenarios!B63:E63)))+(-$C$7*SQRT($C$9)*TANH(INDEX(GDELT!$E$5:$E$52,MATCH(A14,GDELT!$A$5:$A$52,0))))+1.645*SQRT(($C$6*SQRT($C$9)*SUMPRODUCT(TRANSPOSE(COVID_Escenarios!$C$53:$C$56),TANH(ABS(COVID_Escenarios!B63:E63-MIN(COVID_Escenarios!B63:E63)))))^2+($C$8*SQRT($C$9)*TANH(ABS(INDEX(GDELT!$E$5:$E$52,MATCH(A14,GDELT!$A$5:$A$52,0)))))^2)</f>
        <v/>
      </c>
      <c r="V14" s="7" t="n">
        <v>0.1120351289105761</v>
      </c>
    </row>
    <row r="15">
      <c r="A15" t="inlineStr">
        <is>
          <t>2020-07</t>
        </is>
      </c>
      <c r="B15" s="7" t="n">
        <v>-0.0148780137402435</v>
      </c>
      <c r="C15" s="7" t="n">
        <v>-0.0071400010884217</v>
      </c>
      <c r="D15" s="7" t="n">
        <v>-0.002709039070416</v>
      </c>
      <c r="E15" s="7" t="n">
        <v>0.0021712968150686</v>
      </c>
      <c r="F15" s="7" t="n">
        <v>0.0088388515948569</v>
      </c>
      <c r="G15" s="7" t="n">
        <v>-0.0152421893838843</v>
      </c>
      <c r="H15" s="7" t="n">
        <v>-0.0066871566056382</v>
      </c>
      <c r="I15" s="7" t="n">
        <v>-0.0026891579598914</v>
      </c>
      <c r="J15" s="7" t="n">
        <v>0.0013483298494635</v>
      </c>
      <c r="K15" s="7" t="n">
        <v>0.008986582720242201</v>
      </c>
      <c r="L15" s="7" t="n">
        <v>-0.0145710973171312</v>
      </c>
      <c r="M15" s="7" t="n">
        <v>-0.0065715616956304</v>
      </c>
      <c r="N15" s="7" t="n">
        <v>-0.0026215761947139</v>
      </c>
      <c r="O15" s="7" t="n">
        <v>0.0010319818433495</v>
      </c>
      <c r="P15" s="7" t="n">
        <v>0.0088136814238233</v>
      </c>
      <c r="Q15" s="7">
        <f>L15+(-$C$5*SQRT($C$9)*SUMPRODUCT(TRANSPOSE(COVID_Escenarios!$C$53:$C$56),TANH(COVID_Escenarios!B64:E64)))+(-$C$7*SQRT($C$9)*TANH(INDEX(GDELT!$E$5:$E$52,MATCH(A15,GDELT!$A$5:$A$52,0))))-1.645*SQRT(($C$6*SQRT($C$9)*SUMPRODUCT(TRANSPOSE(COVID_Escenarios!$C$53:$C$56),TANH(ABS(COVID_Escenarios!B64:E64-MIN(COVID_Escenarios!B64:E64)))))^2+($C$8*SQRT($C$9)*TANH(ABS(INDEX(GDELT!$E$5:$E$52,MATCH(A15,GDELT!$A$5:$A$52,0)))))^2)</f>
        <v/>
      </c>
      <c r="R15" s="7">
        <f>M15+(-$C$5*SQRT($C$9)*SUMPRODUCT(TRANSPOSE(COVID_Escenarios!$C$53:$C$56),TANH(COVID_Escenarios!B64:E64)))+(-$C$7*SQRT($C$9)*TANH(INDEX(GDELT!$E$5:$E$52,MATCH(A15,GDELT!$A$5:$A$52,0))))-0.675*SQRT(($C$6*SQRT($C$9)*SUMPRODUCT(TRANSPOSE(COVID_Escenarios!$C$53:$C$56),TANH(ABS(COVID_Escenarios!B64:E64-MIN(COVID_Escenarios!B64:E64)))))^2+($C$8*SQRT($C$9)*TANH(ABS(INDEX(GDELT!$E$5:$E$52,MATCH(A15,GDELT!$A$5:$A$52,0)))))^2)</f>
        <v/>
      </c>
      <c r="S15" s="7">
        <f>N15+(-$C$5*SQRT($C$9)*SUMPRODUCT(TRANSPOSE(COVID_Escenarios!$C$53:$C$56),TANH(COVID_Escenarios!B64:E64)))+(-$C$7*SQRT($C$9)*TANH(INDEX(GDELT!$E$5:$E$52,MATCH(A15,GDELT!$A$5:$A$52,0))))</f>
        <v/>
      </c>
      <c r="T15" s="7">
        <f>O15+(-$C$5*SQRT($C$9)*SUMPRODUCT(TRANSPOSE(COVID_Escenarios!$C$53:$C$56),TANH(COVID_Escenarios!B64:E64)))+(-$C$7*SQRT($C$9)*TANH(INDEX(GDELT!$E$5:$E$52,MATCH(A15,GDELT!$A$5:$A$52,0))))+0.675*SQRT(($C$6*SQRT($C$9)*SUMPRODUCT(TRANSPOSE(COVID_Escenarios!$C$53:$C$56),TANH(ABS(COVID_Escenarios!B64:E64-MIN(COVID_Escenarios!B64:E64)))))^2+($C$8*SQRT($C$9)*TANH(ABS(INDEX(GDELT!$E$5:$E$52,MATCH(A15,GDELT!$A$5:$A$52,0)))))^2)</f>
        <v/>
      </c>
      <c r="U15" s="7">
        <f>P15+(-$C$5*SQRT($C$9)*SUMPRODUCT(TRANSPOSE(COVID_Escenarios!$C$53:$C$56),TANH(COVID_Escenarios!B64:E64)))+(-$C$7*SQRT($C$9)*TANH(INDEX(GDELT!$E$5:$E$52,MATCH(A15,GDELT!$A$5:$A$52,0))))+1.645*SQRT(($C$6*SQRT($C$9)*SUMPRODUCT(TRANSPOSE(COVID_Escenarios!$C$53:$C$56),TANH(ABS(COVID_Escenarios!B64:E64-MIN(COVID_Escenarios!B64:E64)))))^2+($C$8*SQRT($C$9)*TANH(ABS(INDEX(GDELT!$E$5:$E$52,MATCH(A15,GDELT!$A$5:$A$52,0)))))^2)</f>
        <v/>
      </c>
      <c r="V15" s="7" t="n">
        <v>0.0494036131517301</v>
      </c>
    </row>
    <row r="16">
      <c r="A16" t="inlineStr">
        <is>
          <t>2020-08</t>
        </is>
      </c>
      <c r="B16" s="7" t="n">
        <v>-0.013802903171414</v>
      </c>
      <c r="C16" s="7" t="n">
        <v>-0.0074340036632842</v>
      </c>
      <c r="D16" s="7" t="n">
        <v>-0.0024233754827436</v>
      </c>
      <c r="E16" s="7" t="n">
        <v>0.0023385362531597</v>
      </c>
      <c r="F16" s="7" t="n">
        <v>0.009595076654023999</v>
      </c>
      <c r="G16" s="7" t="n">
        <v>-0.0140982913472484</v>
      </c>
      <c r="H16" s="7" t="n">
        <v>-0.0062743663474571</v>
      </c>
      <c r="I16" s="7" t="n">
        <v>-0.002258443227397</v>
      </c>
      <c r="J16" s="7" t="n">
        <v>0.0015356108726876</v>
      </c>
      <c r="K16" s="7" t="n">
        <v>0.009493556301178801</v>
      </c>
      <c r="L16" s="7" t="n">
        <v>-0.0133969603160957</v>
      </c>
      <c r="M16" s="7" t="n">
        <v>-0.0059939727377735</v>
      </c>
      <c r="N16" s="7" t="n">
        <v>-0.0022076462076708</v>
      </c>
      <c r="O16" s="7" t="n">
        <v>0.0018720350815521</v>
      </c>
      <c r="P16" s="7" t="n">
        <v>0.0102121535805577</v>
      </c>
      <c r="Q16" s="7">
        <f>L16+(-$C$5*SQRT($C$9)*SUMPRODUCT(TRANSPOSE(COVID_Escenarios!$C$53:$C$56),TANH(COVID_Escenarios!B65:E65)))+(-$C$7*SQRT($C$9)*TANH(INDEX(GDELT!$E$5:$E$52,MATCH(A16,GDELT!$A$5:$A$52,0))))-1.645*SQRT(($C$6*SQRT($C$9)*SUMPRODUCT(TRANSPOSE(COVID_Escenarios!$C$53:$C$56),TANH(ABS(COVID_Escenarios!B65:E65-MIN(COVID_Escenarios!B65:E65)))))^2+($C$8*SQRT($C$9)*TANH(ABS(INDEX(GDELT!$E$5:$E$52,MATCH(A16,GDELT!$A$5:$A$52,0)))))^2)</f>
        <v/>
      </c>
      <c r="R16" s="7">
        <f>M16+(-$C$5*SQRT($C$9)*SUMPRODUCT(TRANSPOSE(COVID_Escenarios!$C$53:$C$56),TANH(COVID_Escenarios!B65:E65)))+(-$C$7*SQRT($C$9)*TANH(INDEX(GDELT!$E$5:$E$52,MATCH(A16,GDELT!$A$5:$A$52,0))))-0.675*SQRT(($C$6*SQRT($C$9)*SUMPRODUCT(TRANSPOSE(COVID_Escenarios!$C$53:$C$56),TANH(ABS(COVID_Escenarios!B65:E65-MIN(COVID_Escenarios!B65:E65)))))^2+($C$8*SQRT($C$9)*TANH(ABS(INDEX(GDELT!$E$5:$E$52,MATCH(A16,GDELT!$A$5:$A$52,0)))))^2)</f>
        <v/>
      </c>
      <c r="S16" s="7">
        <f>N16+(-$C$5*SQRT($C$9)*SUMPRODUCT(TRANSPOSE(COVID_Escenarios!$C$53:$C$56),TANH(COVID_Escenarios!B65:E65)))+(-$C$7*SQRT($C$9)*TANH(INDEX(GDELT!$E$5:$E$52,MATCH(A16,GDELT!$A$5:$A$52,0))))</f>
        <v/>
      </c>
      <c r="T16" s="7">
        <f>O16+(-$C$5*SQRT($C$9)*SUMPRODUCT(TRANSPOSE(COVID_Escenarios!$C$53:$C$56),TANH(COVID_Escenarios!B65:E65)))+(-$C$7*SQRT($C$9)*TANH(INDEX(GDELT!$E$5:$E$52,MATCH(A16,GDELT!$A$5:$A$52,0))))+0.675*SQRT(($C$6*SQRT($C$9)*SUMPRODUCT(TRANSPOSE(COVID_Escenarios!$C$53:$C$56),TANH(ABS(COVID_Escenarios!B65:E65-MIN(COVID_Escenarios!B65:E65)))))^2+($C$8*SQRT($C$9)*TANH(ABS(INDEX(GDELT!$E$5:$E$52,MATCH(A16,GDELT!$A$5:$A$52,0)))))^2)</f>
        <v/>
      </c>
      <c r="U16" s="7">
        <f>P16+(-$C$5*SQRT($C$9)*SUMPRODUCT(TRANSPOSE(COVID_Escenarios!$C$53:$C$56),TANH(COVID_Escenarios!B65:E65)))+(-$C$7*SQRT($C$9)*TANH(INDEX(GDELT!$E$5:$E$52,MATCH(A16,GDELT!$A$5:$A$52,0))))+1.645*SQRT(($C$6*SQRT($C$9)*SUMPRODUCT(TRANSPOSE(COVID_Escenarios!$C$53:$C$56),TANH(ABS(COVID_Escenarios!B65:E65-MIN(COVID_Escenarios!B65:E65)))))^2+($C$8*SQRT($C$9)*TANH(ABS(INDEX(GDELT!$E$5:$E$52,MATCH(A16,GDELT!$A$5:$A$52,0)))))^2)</f>
        <v/>
      </c>
      <c r="V16" s="7" t="n">
        <v>0.0289319698454972</v>
      </c>
    </row>
    <row r="17">
      <c r="A17" t="inlineStr">
        <is>
          <t>2020-09</t>
        </is>
      </c>
      <c r="B17" s="7" t="n">
        <v>-0.013652485089645</v>
      </c>
      <c r="C17" s="7" t="n">
        <v>-0.0068265171035043</v>
      </c>
      <c r="D17" s="7" t="n">
        <v>-0.0021152866778026</v>
      </c>
      <c r="E17" s="7" t="n">
        <v>0.0026690395096103</v>
      </c>
      <c r="F17" s="7" t="n">
        <v>0.009796173375480499</v>
      </c>
      <c r="G17" s="7" t="n">
        <v>-0.0135931376226021</v>
      </c>
      <c r="H17" s="7" t="n">
        <v>-0.0060529250482478</v>
      </c>
      <c r="I17" s="7" t="n">
        <v>-0.0021411574268372</v>
      </c>
      <c r="J17" s="7" t="n">
        <v>0.0012793684293719</v>
      </c>
      <c r="K17" s="7" t="n">
        <v>0.009037942632084401</v>
      </c>
      <c r="L17" s="7" t="n">
        <v>-0.0137502918925374</v>
      </c>
      <c r="M17" s="7" t="n">
        <v>-0.0060108159906462</v>
      </c>
      <c r="N17" s="7" t="n">
        <v>-0.0021166462226608</v>
      </c>
      <c r="O17" s="7" t="n">
        <v>0.0015553218737374</v>
      </c>
      <c r="P17" s="7" t="n">
        <v>0.008907286144007801</v>
      </c>
      <c r="Q17" s="7">
        <f>L17+(-$C$5*SQRT($C$9)*SUMPRODUCT(TRANSPOSE(COVID_Escenarios!$C$53:$C$56),TANH(COVID_Escenarios!B66:E66)))+(-$C$7*SQRT($C$9)*TANH(INDEX(GDELT!$E$5:$E$52,MATCH(A17,GDELT!$A$5:$A$52,0))))-1.645*SQRT(($C$6*SQRT($C$9)*SUMPRODUCT(TRANSPOSE(COVID_Escenarios!$C$53:$C$56),TANH(ABS(COVID_Escenarios!B66:E66-MIN(COVID_Escenarios!B66:E66)))))^2+($C$8*SQRT($C$9)*TANH(ABS(INDEX(GDELT!$E$5:$E$52,MATCH(A17,GDELT!$A$5:$A$52,0)))))^2)</f>
        <v/>
      </c>
      <c r="R17" s="7">
        <f>M17+(-$C$5*SQRT($C$9)*SUMPRODUCT(TRANSPOSE(COVID_Escenarios!$C$53:$C$56),TANH(COVID_Escenarios!B66:E66)))+(-$C$7*SQRT($C$9)*TANH(INDEX(GDELT!$E$5:$E$52,MATCH(A17,GDELT!$A$5:$A$52,0))))-0.675*SQRT(($C$6*SQRT($C$9)*SUMPRODUCT(TRANSPOSE(COVID_Escenarios!$C$53:$C$56),TANH(ABS(COVID_Escenarios!B66:E66-MIN(COVID_Escenarios!B66:E66)))))^2+($C$8*SQRT($C$9)*TANH(ABS(INDEX(GDELT!$E$5:$E$52,MATCH(A17,GDELT!$A$5:$A$52,0)))))^2)</f>
        <v/>
      </c>
      <c r="S17" s="7">
        <f>N17+(-$C$5*SQRT($C$9)*SUMPRODUCT(TRANSPOSE(COVID_Escenarios!$C$53:$C$56),TANH(COVID_Escenarios!B66:E66)))+(-$C$7*SQRT($C$9)*TANH(INDEX(GDELT!$E$5:$E$52,MATCH(A17,GDELT!$A$5:$A$52,0))))</f>
        <v/>
      </c>
      <c r="T17" s="7">
        <f>O17+(-$C$5*SQRT($C$9)*SUMPRODUCT(TRANSPOSE(COVID_Escenarios!$C$53:$C$56),TANH(COVID_Escenarios!B66:E66)))+(-$C$7*SQRT($C$9)*TANH(INDEX(GDELT!$E$5:$E$52,MATCH(A17,GDELT!$A$5:$A$52,0))))+0.675*SQRT(($C$6*SQRT($C$9)*SUMPRODUCT(TRANSPOSE(COVID_Escenarios!$C$53:$C$56),TANH(ABS(COVID_Escenarios!B66:E66-MIN(COVID_Escenarios!B66:E66)))))^2+($C$8*SQRT($C$9)*TANH(ABS(INDEX(GDELT!$E$5:$E$52,MATCH(A17,GDELT!$A$5:$A$52,0)))))^2)</f>
        <v/>
      </c>
      <c r="U17" s="7">
        <f>P17+(-$C$5*SQRT($C$9)*SUMPRODUCT(TRANSPOSE(COVID_Escenarios!$C$53:$C$56),TANH(COVID_Escenarios!B66:E66)))+(-$C$7*SQRT($C$9)*TANH(INDEX(GDELT!$E$5:$E$52,MATCH(A17,GDELT!$A$5:$A$52,0))))+1.645*SQRT(($C$6*SQRT($C$9)*SUMPRODUCT(TRANSPOSE(COVID_Escenarios!$C$53:$C$56),TANH(ABS(COVID_Escenarios!B66:E66-MIN(COVID_Escenarios!B66:E66)))))^2+($C$8*SQRT($C$9)*TANH(ABS(INDEX(GDELT!$E$5:$E$52,MATCH(A17,GDELT!$A$5:$A$52,0)))))^2)</f>
        <v/>
      </c>
      <c r="V17" s="7" t="n">
        <v>0.0267602779597897</v>
      </c>
    </row>
    <row r="18">
      <c r="A18" t="inlineStr">
        <is>
          <t>2020-10</t>
        </is>
      </c>
      <c r="B18" s="7" t="n">
        <v>-0.0139986098748832</v>
      </c>
      <c r="C18" s="7" t="n">
        <v>-0.0064590477385149</v>
      </c>
      <c r="D18" s="7" t="n">
        <v>-0.0014470180355652</v>
      </c>
      <c r="E18" s="7" t="n">
        <v>0.0032033773463317</v>
      </c>
      <c r="F18" s="7" t="n">
        <v>0.0100367538736741</v>
      </c>
      <c r="G18" s="7" t="n">
        <v>-0.0140624280971295</v>
      </c>
      <c r="H18" s="7" t="n">
        <v>-0.0055614388105808</v>
      </c>
      <c r="I18" s="7" t="n">
        <v>-0.0016638343135685</v>
      </c>
      <c r="J18" s="7" t="n">
        <v>0.0020055117233325</v>
      </c>
      <c r="K18" s="7" t="n">
        <v>0.009938571103209301</v>
      </c>
      <c r="L18" s="7" t="n">
        <v>-0.0132624003520676</v>
      </c>
      <c r="M18" s="7" t="n">
        <v>-0.0056571993003049</v>
      </c>
      <c r="N18" s="7" t="n">
        <v>-0.0017290007909005</v>
      </c>
      <c r="O18" s="7" t="n">
        <v>0.0020152610241352</v>
      </c>
      <c r="P18" s="7" t="n">
        <v>0.0092607989259119</v>
      </c>
      <c r="Q18" s="7">
        <f>L18+(-$C$5*SQRT($C$9)*SUMPRODUCT(TRANSPOSE(COVID_Escenarios!$C$53:$C$56),TANH(COVID_Escenarios!B67:E67)))+(-$C$7*SQRT($C$9)*TANH(INDEX(GDELT!$E$5:$E$52,MATCH(A18,GDELT!$A$5:$A$52,0))))-1.645*SQRT(($C$6*SQRT($C$9)*SUMPRODUCT(TRANSPOSE(COVID_Escenarios!$C$53:$C$56),TANH(ABS(COVID_Escenarios!B67:E67-MIN(COVID_Escenarios!B67:E67)))))^2+($C$8*SQRT($C$9)*TANH(ABS(INDEX(GDELT!$E$5:$E$52,MATCH(A18,GDELT!$A$5:$A$52,0)))))^2)</f>
        <v/>
      </c>
      <c r="R18" s="7">
        <f>M18+(-$C$5*SQRT($C$9)*SUMPRODUCT(TRANSPOSE(COVID_Escenarios!$C$53:$C$56),TANH(COVID_Escenarios!B67:E67)))+(-$C$7*SQRT($C$9)*TANH(INDEX(GDELT!$E$5:$E$52,MATCH(A18,GDELT!$A$5:$A$52,0))))-0.675*SQRT(($C$6*SQRT($C$9)*SUMPRODUCT(TRANSPOSE(COVID_Escenarios!$C$53:$C$56),TANH(ABS(COVID_Escenarios!B67:E67-MIN(COVID_Escenarios!B67:E67)))))^2+($C$8*SQRT($C$9)*TANH(ABS(INDEX(GDELT!$E$5:$E$52,MATCH(A18,GDELT!$A$5:$A$52,0)))))^2)</f>
        <v/>
      </c>
      <c r="S18" s="7">
        <f>N18+(-$C$5*SQRT($C$9)*SUMPRODUCT(TRANSPOSE(COVID_Escenarios!$C$53:$C$56),TANH(COVID_Escenarios!B67:E67)))+(-$C$7*SQRT($C$9)*TANH(INDEX(GDELT!$E$5:$E$52,MATCH(A18,GDELT!$A$5:$A$52,0))))</f>
        <v/>
      </c>
      <c r="T18" s="7">
        <f>O18+(-$C$5*SQRT($C$9)*SUMPRODUCT(TRANSPOSE(COVID_Escenarios!$C$53:$C$56),TANH(COVID_Escenarios!B67:E67)))+(-$C$7*SQRT($C$9)*TANH(INDEX(GDELT!$E$5:$E$52,MATCH(A18,GDELT!$A$5:$A$52,0))))+0.675*SQRT(($C$6*SQRT($C$9)*SUMPRODUCT(TRANSPOSE(COVID_Escenarios!$C$53:$C$56),TANH(ABS(COVID_Escenarios!B67:E67-MIN(COVID_Escenarios!B67:E67)))))^2+($C$8*SQRT($C$9)*TANH(ABS(INDEX(GDELT!$E$5:$E$52,MATCH(A18,GDELT!$A$5:$A$52,0)))))^2)</f>
        <v/>
      </c>
      <c r="U18" s="7">
        <f>P18+(-$C$5*SQRT($C$9)*SUMPRODUCT(TRANSPOSE(COVID_Escenarios!$C$53:$C$56),TANH(COVID_Escenarios!B67:E67)))+(-$C$7*SQRT($C$9)*TANH(INDEX(GDELT!$E$5:$E$52,MATCH(A18,GDELT!$A$5:$A$52,0))))+1.645*SQRT(($C$6*SQRT($C$9)*SUMPRODUCT(TRANSPOSE(COVID_Escenarios!$C$53:$C$56),TANH(ABS(COVID_Escenarios!B67:E67-MIN(COVID_Escenarios!B67:E67)))))^2+($C$8*SQRT($C$9)*TANH(ABS(INDEX(GDELT!$E$5:$E$52,MATCH(A18,GDELT!$A$5:$A$52,0)))))^2)</f>
        <v/>
      </c>
      <c r="V18" s="7" t="n">
        <v>0.0105935384361401</v>
      </c>
    </row>
    <row r="19">
      <c r="A19" t="inlineStr">
        <is>
          <t>2020-11</t>
        </is>
      </c>
      <c r="B19" s="7" t="n">
        <v>-0.0129831043852423</v>
      </c>
      <c r="C19" s="7" t="n">
        <v>-0.006391614418967</v>
      </c>
      <c r="D19" s="7" t="n">
        <v>-0.0015952313393546</v>
      </c>
      <c r="E19" s="7" t="n">
        <v>0.0034675972262856</v>
      </c>
      <c r="F19" s="7" t="n">
        <v>0.010227751881681</v>
      </c>
      <c r="G19" s="7" t="n">
        <v>-0.0123457702300334</v>
      </c>
      <c r="H19" s="7" t="n">
        <v>-0.0053184536486822</v>
      </c>
      <c r="I19" s="7" t="n">
        <v>-0.0014358057275211</v>
      </c>
      <c r="J19" s="7" t="n">
        <v>0.0024108040409855</v>
      </c>
      <c r="K19" s="7" t="n">
        <v>0.0092759261907941</v>
      </c>
      <c r="L19" s="7" t="n">
        <v>-0.0134398053046966</v>
      </c>
      <c r="M19" s="7" t="n">
        <v>-0.0052192828261064</v>
      </c>
      <c r="N19" s="7" t="n">
        <v>-0.0014273955394849</v>
      </c>
      <c r="O19" s="7" t="n">
        <v>0.0025758213993791</v>
      </c>
      <c r="P19" s="7" t="n">
        <v>0.0104437658751418</v>
      </c>
      <c r="Q19" s="7">
        <f>L19+(-$C$5*SQRT($C$9)*SUMPRODUCT(TRANSPOSE(COVID_Escenarios!$C$53:$C$56),TANH(COVID_Escenarios!B68:E68)))+(-$C$7*SQRT($C$9)*TANH(INDEX(GDELT!$E$5:$E$52,MATCH(A19,GDELT!$A$5:$A$52,0))))-1.645*SQRT(($C$6*SQRT($C$9)*SUMPRODUCT(TRANSPOSE(COVID_Escenarios!$C$53:$C$56),TANH(ABS(COVID_Escenarios!B68:E68-MIN(COVID_Escenarios!B68:E68)))))^2+($C$8*SQRT($C$9)*TANH(ABS(INDEX(GDELT!$E$5:$E$52,MATCH(A19,GDELT!$A$5:$A$52,0)))))^2)</f>
        <v/>
      </c>
      <c r="R19" s="7">
        <f>M19+(-$C$5*SQRT($C$9)*SUMPRODUCT(TRANSPOSE(COVID_Escenarios!$C$53:$C$56),TANH(COVID_Escenarios!B68:E68)))+(-$C$7*SQRT($C$9)*TANH(INDEX(GDELT!$E$5:$E$52,MATCH(A19,GDELT!$A$5:$A$52,0))))-0.675*SQRT(($C$6*SQRT($C$9)*SUMPRODUCT(TRANSPOSE(COVID_Escenarios!$C$53:$C$56),TANH(ABS(COVID_Escenarios!B68:E68-MIN(COVID_Escenarios!B68:E68)))))^2+($C$8*SQRT($C$9)*TANH(ABS(INDEX(GDELT!$E$5:$E$52,MATCH(A19,GDELT!$A$5:$A$52,0)))))^2)</f>
        <v/>
      </c>
      <c r="S19" s="7">
        <f>N19+(-$C$5*SQRT($C$9)*SUMPRODUCT(TRANSPOSE(COVID_Escenarios!$C$53:$C$56),TANH(COVID_Escenarios!B68:E68)))+(-$C$7*SQRT($C$9)*TANH(INDEX(GDELT!$E$5:$E$52,MATCH(A19,GDELT!$A$5:$A$52,0))))</f>
        <v/>
      </c>
      <c r="T19" s="7">
        <f>O19+(-$C$5*SQRT($C$9)*SUMPRODUCT(TRANSPOSE(COVID_Escenarios!$C$53:$C$56),TANH(COVID_Escenarios!B68:E68)))+(-$C$7*SQRT($C$9)*TANH(INDEX(GDELT!$E$5:$E$52,MATCH(A19,GDELT!$A$5:$A$52,0))))+0.675*SQRT(($C$6*SQRT($C$9)*SUMPRODUCT(TRANSPOSE(COVID_Escenarios!$C$53:$C$56),TANH(ABS(COVID_Escenarios!B68:E68-MIN(COVID_Escenarios!B68:E68)))))^2+($C$8*SQRT($C$9)*TANH(ABS(INDEX(GDELT!$E$5:$E$52,MATCH(A19,GDELT!$A$5:$A$52,0)))))^2)</f>
        <v/>
      </c>
      <c r="U19" s="7">
        <f>P19+(-$C$5*SQRT($C$9)*SUMPRODUCT(TRANSPOSE(COVID_Escenarios!$C$53:$C$56),TANH(COVID_Escenarios!B68:E68)))+(-$C$7*SQRT($C$9)*TANH(INDEX(GDELT!$E$5:$E$52,MATCH(A19,GDELT!$A$5:$A$52,0))))+1.645*SQRT(($C$6*SQRT($C$9)*SUMPRODUCT(TRANSPOSE(COVID_Escenarios!$C$53:$C$56),TANH(ABS(COVID_Escenarios!B68:E68-MIN(COVID_Escenarios!B68:E68)))))^2+($C$8*SQRT($C$9)*TANH(ABS(INDEX(GDELT!$E$5:$E$52,MATCH(A19,GDELT!$A$5:$A$52,0)))))^2)</f>
        <v/>
      </c>
      <c r="V19" s="7" t="n">
        <v>0.0077044425634147</v>
      </c>
    </row>
    <row r="20">
      <c r="A20" t="inlineStr">
        <is>
          <t>2020-12</t>
        </is>
      </c>
      <c r="B20" s="7" t="n">
        <v>-0.0134496814829007</v>
      </c>
      <c r="C20" s="7" t="n">
        <v>-0.00634221591408</v>
      </c>
      <c r="D20" s="7" t="n">
        <v>-0.0013557525599087</v>
      </c>
      <c r="E20" s="7" t="n">
        <v>0.0033920872950194</v>
      </c>
      <c r="F20" s="7" t="n">
        <v>0.0105313881574713</v>
      </c>
      <c r="G20" s="7" t="n">
        <v>-0.0126363720855762</v>
      </c>
      <c r="H20" s="7" t="n">
        <v>-0.0051550091693037</v>
      </c>
      <c r="I20" s="7" t="n">
        <v>-0.0013749160153052</v>
      </c>
      <c r="J20" s="7" t="n">
        <v>0.0024026554251947</v>
      </c>
      <c r="K20" s="7" t="n">
        <v>0.0097014032839364</v>
      </c>
      <c r="L20" s="7" t="n">
        <v>-0.0124839604835338</v>
      </c>
      <c r="M20" s="7" t="n">
        <v>-0.0049288886166924</v>
      </c>
      <c r="N20" s="7" t="n">
        <v>-0.0010653680798137</v>
      </c>
      <c r="O20" s="7" t="n">
        <v>0.0028122414437033</v>
      </c>
      <c r="P20" s="7" t="n">
        <v>0.0104203706166696</v>
      </c>
      <c r="Q20" s="7">
        <f>L20+(-$C$5*SQRT($C$9)*SUMPRODUCT(TRANSPOSE(COVID_Escenarios!$C$53:$C$56),TANH(COVID_Escenarios!B69:E69)))+(-$C$7*SQRT($C$9)*TANH(INDEX(GDELT!$E$5:$E$52,MATCH(A20,GDELT!$A$5:$A$52,0))))-1.645*SQRT(($C$6*SQRT($C$9)*SUMPRODUCT(TRANSPOSE(COVID_Escenarios!$C$53:$C$56),TANH(ABS(COVID_Escenarios!B69:E69-MIN(COVID_Escenarios!B69:E69)))))^2+($C$8*SQRT($C$9)*TANH(ABS(INDEX(GDELT!$E$5:$E$52,MATCH(A20,GDELT!$A$5:$A$52,0)))))^2)</f>
        <v/>
      </c>
      <c r="R20" s="7">
        <f>M20+(-$C$5*SQRT($C$9)*SUMPRODUCT(TRANSPOSE(COVID_Escenarios!$C$53:$C$56),TANH(COVID_Escenarios!B69:E69)))+(-$C$7*SQRT($C$9)*TANH(INDEX(GDELT!$E$5:$E$52,MATCH(A20,GDELT!$A$5:$A$52,0))))-0.675*SQRT(($C$6*SQRT($C$9)*SUMPRODUCT(TRANSPOSE(COVID_Escenarios!$C$53:$C$56),TANH(ABS(COVID_Escenarios!B69:E69-MIN(COVID_Escenarios!B69:E69)))))^2+($C$8*SQRT($C$9)*TANH(ABS(INDEX(GDELT!$E$5:$E$52,MATCH(A20,GDELT!$A$5:$A$52,0)))))^2)</f>
        <v/>
      </c>
      <c r="S20" s="7">
        <f>N20+(-$C$5*SQRT($C$9)*SUMPRODUCT(TRANSPOSE(COVID_Escenarios!$C$53:$C$56),TANH(COVID_Escenarios!B69:E69)))+(-$C$7*SQRT($C$9)*TANH(INDEX(GDELT!$E$5:$E$52,MATCH(A20,GDELT!$A$5:$A$52,0))))</f>
        <v/>
      </c>
      <c r="T20" s="7">
        <f>O20+(-$C$5*SQRT($C$9)*SUMPRODUCT(TRANSPOSE(COVID_Escenarios!$C$53:$C$56),TANH(COVID_Escenarios!B69:E69)))+(-$C$7*SQRT($C$9)*TANH(INDEX(GDELT!$E$5:$E$52,MATCH(A20,GDELT!$A$5:$A$52,0))))+0.675*SQRT(($C$6*SQRT($C$9)*SUMPRODUCT(TRANSPOSE(COVID_Escenarios!$C$53:$C$56),TANH(ABS(COVID_Escenarios!B69:E69-MIN(COVID_Escenarios!B69:E69)))))^2+($C$8*SQRT($C$9)*TANH(ABS(INDEX(GDELT!$E$5:$E$52,MATCH(A20,GDELT!$A$5:$A$52,0)))))^2)</f>
        <v/>
      </c>
      <c r="U20" s="7">
        <f>P20+(-$C$5*SQRT($C$9)*SUMPRODUCT(TRANSPOSE(COVID_Escenarios!$C$53:$C$56),TANH(COVID_Escenarios!B69:E69)))+(-$C$7*SQRT($C$9)*TANH(INDEX(GDELT!$E$5:$E$52,MATCH(A20,GDELT!$A$5:$A$52,0))))+1.645*SQRT(($C$6*SQRT($C$9)*SUMPRODUCT(TRANSPOSE(COVID_Escenarios!$C$53:$C$56),TANH(ABS(COVID_Escenarios!B69:E69-MIN(COVID_Escenarios!B69:E69)))))^2+($C$8*SQRT($C$9)*TANH(ABS(INDEX(GDELT!$E$5:$E$52,MATCH(A20,GDELT!$A$5:$A$52,0)))))^2)</f>
        <v/>
      </c>
      <c r="V20" s="7" t="n">
        <v>-0.0029457775587919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Escalera de pronóstico — M0 a M3 (todas ligadas a la hoja Modelos)</t>
        </is>
      </c>
    </row>
    <row r="58">
      <c r="A58" s="6" t="inlineStr">
        <is>
          <t>Nota: por limitación de la librería usada para graficar (openpyxl), las bandas se muestran como P5 y P95 en líneas punteadas (no como área sombreada continua); los valores exactos de P25/P75 están en la hoja Modelos. Mediana en línea gruesa de color, IGAE observado en negro.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95" customWidth="1" min="1" max="1"/>
    <col width="16" customWidth="1" min="2" max="2"/>
    <col width="16" customWidth="1" min="3" max="3"/>
    <col width="60" customWidth="1" min="4" max="4"/>
  </cols>
  <sheetData>
    <row r="1">
      <c r="A1" s="8" t="inlineStr">
        <is>
          <t>Metodología, validaciones y hallazgos honestos</t>
        </is>
      </c>
    </row>
    <row r="3">
      <c r="A3" s="3" t="inlineStr">
        <is>
          <t>1) Selección de variables — CV10 R² por rezago (0/1/2 meses)</t>
        </is>
      </c>
    </row>
    <row r="4">
      <c r="A4" s="5" t="inlineStr">
        <is>
          <t>Variable</t>
        </is>
      </c>
      <c r="B4" s="5" t="inlineStr">
        <is>
          <t>Rezago 0</t>
        </is>
      </c>
      <c r="C4" s="5" t="inlineStr">
        <is>
          <t>Rezago 1</t>
        </is>
      </c>
      <c r="D4" s="5" t="inlineStr">
        <is>
          <t>Rezago 2</t>
        </is>
      </c>
    </row>
    <row r="5">
      <c r="A5" t="inlineStr">
        <is>
          <t>ANTAD_mom</t>
        </is>
      </c>
      <c r="B5" s="10" t="n">
        <v>-0.6476563448486484</v>
      </c>
      <c r="C5" s="10" t="n">
        <v>-0.1254693922807007</v>
      </c>
      <c r="D5" s="10" t="n">
        <v>-0.1186981300023852</v>
      </c>
    </row>
    <row r="6">
      <c r="A6" t="inlineStr">
        <is>
          <t>AUTOS_mom</t>
        </is>
      </c>
      <c r="B6" s="10" t="n">
        <v>-0.7925928209412947</v>
      </c>
      <c r="C6" s="10" t="n">
        <v>-0.1503176704902536</v>
      </c>
      <c r="D6" s="10" t="n">
        <v>-0.09710487604416131</v>
      </c>
    </row>
    <row r="7">
      <c r="A7" t="inlineStr">
        <is>
          <t>ActividadIndustrial_mom</t>
        </is>
      </c>
      <c r="B7" s="10" t="n">
        <v>0.5080556580905655</v>
      </c>
      <c r="C7" s="10" t="n">
        <v>-0.1058615453792219</v>
      </c>
      <c r="D7" s="10" t="n">
        <v>-0.113552229224357</v>
      </c>
    </row>
    <row r="8">
      <c r="A8" t="inlineStr">
        <is>
          <t>BMV_mom</t>
        </is>
      </c>
      <c r="B8" s="10" t="n">
        <v>-0.0944336088820959</v>
      </c>
      <c r="C8" s="10" t="n">
        <v>-0.1213581792751148</v>
      </c>
      <c r="D8" s="10" t="n">
        <v>-0.1188234705253817</v>
      </c>
    </row>
    <row r="9">
      <c r="A9" t="inlineStr">
        <is>
          <t>Balanza_mom</t>
        </is>
      </c>
      <c r="B9" s="10" t="n">
        <v>-0.2523858014499581</v>
      </c>
      <c r="C9" s="10" t="n">
        <v>-0.083420741083727</v>
      </c>
      <c r="D9" s="10" t="n">
        <v>-0.074470823266287</v>
      </c>
    </row>
    <row r="10">
      <c r="A10" t="inlineStr">
        <is>
          <t>Desempleo_mom</t>
        </is>
      </c>
      <c r="B10" s="10" t="n">
        <v>-0.2936713050594397</v>
      </c>
      <c r="C10" s="10" t="n">
        <v>-0.0751803991211949</v>
      </c>
      <c r="D10" s="10" t="n">
        <v>-0.240242329311497</v>
      </c>
    </row>
    <row r="11">
      <c r="A11" t="inlineStr">
        <is>
          <t>EPU_mom</t>
        </is>
      </c>
      <c r="B11" s="10" t="n">
        <v>-0.0555361280137824</v>
      </c>
      <c r="C11" s="10" t="n">
        <v>-0.123433929783342</v>
      </c>
      <c r="D11" s="10" t="n">
        <v>-0.0544760064433063</v>
      </c>
    </row>
    <row r="12">
      <c r="A12" t="inlineStr">
        <is>
          <t>FBCF_mom</t>
        </is>
      </c>
      <c r="B12" s="10" t="n">
        <v>-0.2562538543860038</v>
      </c>
      <c r="C12" s="10" t="n">
        <v>-0.1066335707598298</v>
      </c>
      <c r="D12" s="10" t="n">
        <v>-0.1004190065317639</v>
      </c>
    </row>
    <row r="13">
      <c r="A13" t="inlineStr">
        <is>
          <t>IMCP_mom</t>
        </is>
      </c>
      <c r="B13" s="10" t="n">
        <v>0.0484194662049553</v>
      </c>
      <c r="C13" s="10" t="n">
        <v>-0.1313700821360741</v>
      </c>
      <c r="D13" s="10" t="n">
        <v>-0.110858013663322</v>
      </c>
    </row>
    <row r="14">
      <c r="A14" t="inlineStr">
        <is>
          <t>IMSS_mom</t>
        </is>
      </c>
      <c r="B14" s="10" t="n">
        <v>-0.443921757794968</v>
      </c>
      <c r="C14" s="10" t="n">
        <v>-0.0620560544977245</v>
      </c>
      <c r="D14" s="10" t="n">
        <v>-0.3659992386392156</v>
      </c>
    </row>
    <row r="15">
      <c r="A15" t="inlineStr">
        <is>
          <t>INDPRO_mom</t>
        </is>
      </c>
      <c r="B15" s="10" t="n">
        <v>-0.3954844907750364</v>
      </c>
      <c r="C15" s="10" t="n">
        <v>-0.0363654710223809</v>
      </c>
      <c r="D15" s="10" t="n">
        <v>-0.1617992042878681</v>
      </c>
    </row>
    <row r="16">
      <c r="A16" t="inlineStr">
        <is>
          <t>INPC_mom</t>
        </is>
      </c>
      <c r="B16" s="10" t="n">
        <v>-0.1288097680219777</v>
      </c>
      <c r="C16" s="10" t="n">
        <v>-0.087482818872462</v>
      </c>
      <c r="D16" s="10" t="n">
        <v>-0.06303836733615049</v>
      </c>
    </row>
    <row r="17">
      <c r="A17" t="inlineStr">
        <is>
          <t>TARJETAS_mom</t>
        </is>
      </c>
      <c r="B17" s="10" t="n">
        <v>-2.297858090259058</v>
      </c>
      <c r="C17" s="10" t="n">
        <v>-0.7323661382081076</v>
      </c>
      <c r="D17" s="10" t="n">
        <v>-0.2200113469364587</v>
      </c>
    </row>
    <row r="18">
      <c r="A18" t="inlineStr">
        <is>
          <t>TC_mom</t>
        </is>
      </c>
      <c r="B18" s="10" t="n">
        <v>-0.1312023217557251</v>
      </c>
      <c r="C18" s="10" t="n">
        <v>-0.3175049262614156</v>
      </c>
      <c r="D18" s="10" t="n">
        <v>-0.0384199522402089</v>
      </c>
    </row>
    <row r="19">
      <c r="A19" t="inlineStr">
        <is>
          <t>TIIE_mom</t>
        </is>
      </c>
      <c r="B19" s="10" t="n">
        <v>-0.0922988284418208</v>
      </c>
      <c r="C19" s="10" t="n">
        <v>-0.0898853500518348</v>
      </c>
      <c r="D19" s="10" t="n">
        <v>-0.1460264259499354</v>
      </c>
    </row>
    <row r="21">
      <c r="A21" s="6" t="inlineStr">
        <is>
          <t>Hallazgo: solo ActividadIndustrial (R²≈0.50, pero mismo rezago de publicación que IGAE — no sirve para nowcasting) e IMSS (R²≈0.06, rezago 12 días) superan cero. El resto no muestra señal lineal univariada positiva.</t>
        </is>
      </c>
    </row>
    <row r="24">
      <c r="A24" s="3" t="inlineStr">
        <is>
          <t>2) Calendario de publicación (vintage)</t>
        </is>
      </c>
    </row>
    <row r="25">
      <c r="A25" s="5" t="inlineStr">
        <is>
          <t>Variable</t>
        </is>
      </c>
      <c r="B25" s="5" t="inlineStr">
        <is>
          <t>Rezago (días)</t>
        </is>
      </c>
      <c r="C25" s="5" t="inlineStr">
        <is>
          <t>Confianza</t>
        </is>
      </c>
      <c r="D25" s="5" t="inlineStr">
        <is>
          <t>Nota</t>
        </is>
      </c>
    </row>
    <row r="26">
      <c r="A26" t="inlineStr">
        <is>
          <t>IGAE</t>
        </is>
      </c>
      <c r="B26" t="n">
        <v>56</v>
      </c>
      <c r="C26" t="inlineStr">
        <is>
          <t>alta_usuario</t>
        </is>
      </c>
      <c r="D26" t="inlineStr">
        <is>
          <t>INEGI. Dado por el usuario como verificado; chequeo independiente esta sesion via busqueda web sugiere ~53 dias (calendario de difusion INEGI). Rango de incertidumbre [53,56].</t>
        </is>
      </c>
    </row>
    <row r="27">
      <c r="A27" t="inlineStr">
        <is>
          <t>ActividadIndustrial</t>
        </is>
      </c>
      <c r="B27" t="n">
        <v>56</v>
      </c>
      <c r="C27" t="inlineStr">
        <is>
          <t>alta_usuario</t>
        </is>
      </c>
      <c r="D27" t="inlineStr">
        <is>
          <t>INEGI, mismo comunicado que IGAE (se publican el mismo dia).</t>
        </is>
      </c>
    </row>
    <row r="28">
      <c r="A28" t="inlineStr">
        <is>
          <t>FBCF</t>
        </is>
      </c>
      <c r="B28" t="n">
        <v>67</v>
      </c>
      <c r="C28" t="inlineStr">
        <is>
          <t>alta_usuario</t>
        </is>
      </c>
      <c r="D28" t="inlineStr">
        <is>
          <t>INEGI, comunicado APARTE del de IGAE (no el mismo dia).</t>
        </is>
      </c>
    </row>
    <row r="29">
      <c r="A29" t="inlineStr">
        <is>
          <t>IMCP</t>
        </is>
      </c>
      <c r="B29" t="n">
        <v>67</v>
      </c>
      <c r="C29" t="inlineStr">
        <is>
          <t>alta_usuario</t>
        </is>
      </c>
      <c r="D29" t="inlineStr">
        <is>
          <t>Indicador Mensual del Consumo Privado, INEGI, mismo comunicado que FBCF.</t>
        </is>
      </c>
    </row>
    <row r="30">
      <c r="A30" t="inlineStr">
        <is>
          <t>ANTAD</t>
        </is>
      </c>
      <c r="B30" t="n">
        <v>11</v>
      </c>
      <c r="C30" t="inlineStr">
        <is>
          <t>alta_usuario</t>
        </is>
      </c>
      <c r="D30" t="inlineStr">
        <is>
          <t>Ventas mismas tiendas ANTAD, asociacion privada, publicacion rapida.</t>
        </is>
      </c>
    </row>
    <row r="31">
      <c r="A31" t="inlineStr">
        <is>
          <t>TARJETAS</t>
        </is>
      </c>
      <c r="B31" t="n">
        <v>11</v>
      </c>
      <c r="C31" t="inlineStr">
        <is>
          <t>supuesto</t>
        </is>
      </c>
      <c r="D31" t="inlineStr">
        <is>
          <t>Indicador de consumo con tarjetas. Sin fuente primaria verificada esta sesion; se asume el mismo rezago que ANTAD (privado, rubro similar de consumo) como cota razonable -- tratar con cautela.</t>
        </is>
      </c>
    </row>
    <row r="32">
      <c r="A32" t="inlineStr">
        <is>
          <t>AUTOS</t>
        </is>
      </c>
      <c r="B32" t="n">
        <v>5</v>
      </c>
      <c r="C32" t="inlineStr">
        <is>
          <t>alta_usuario</t>
        </is>
      </c>
      <c r="D32" t="inlineStr">
        <is>
          <t>Registro Administrativo de la Industria Automotriz de Vehiculos Ligeros (INEGI/AMIA), de las publicaciones mas rapidas.</t>
        </is>
      </c>
    </row>
    <row r="33">
      <c r="A33" t="inlineStr">
        <is>
          <t>IMSS</t>
        </is>
      </c>
      <c r="B33" t="n">
        <v>12</v>
      </c>
      <c r="C33" t="inlineStr">
        <is>
          <t>alta_usuario</t>
        </is>
      </c>
      <c r="D33" t="inlineStr">
        <is>
          <t>Puestos de trabajo afiliados al IMSS, publicacion administrativa rapida.</t>
        </is>
      </c>
    </row>
    <row r="34">
      <c r="A34" t="inlineStr">
        <is>
          <t>Balanza</t>
        </is>
      </c>
      <c r="B34" t="n">
        <v>26</v>
      </c>
      <c r="C34" t="inlineStr">
        <is>
          <t>alta_usuario</t>
        </is>
      </c>
      <c r="D34" t="inlineStr">
        <is>
          <t>Balanza comercial, INEGI/Banxico.</t>
        </is>
      </c>
    </row>
    <row r="35">
      <c r="A35" t="inlineStr">
        <is>
          <t>INDPRO</t>
        </is>
      </c>
      <c r="B35" t="n">
        <v>16</v>
      </c>
      <c r="C35" t="inlineStr">
        <is>
          <t>alta_sesion</t>
        </is>
      </c>
      <c r="D35" t="inlineStr">
        <is>
          <t>Corregido en esta sesion: Federal Reserve G.17, ~15-17 dias segun calendario 2026 (fuente: federalreserve.gov/releases/g17/). El supuesto previo de 45 dias NO estaba confirmado y era incorrecto.</t>
        </is>
      </c>
    </row>
    <row r="36">
      <c r="A36" t="inlineStr">
        <is>
          <t>BMV</t>
        </is>
      </c>
      <c r="B36" t="n">
        <v>0</v>
      </c>
      <c r="C36" t="inlineStr">
        <is>
          <t>alta_sesion</t>
        </is>
      </c>
      <c r="D36" t="inlineStr">
        <is>
          <t>Indice bursatil, dato de mercado disponible el mismo dia (t+0).</t>
        </is>
      </c>
    </row>
    <row r="37">
      <c r="A37" t="inlineStr">
        <is>
          <t>TC</t>
        </is>
      </c>
      <c r="B37" t="n">
        <v>1</v>
      </c>
      <c r="C37" t="inlineStr">
        <is>
          <t>alta_sesion</t>
        </is>
      </c>
      <c r="D37" t="inlineStr">
        <is>
          <t>Tipo de cambio FIX, Banxico publica con 1 dia habil de rezago.</t>
        </is>
      </c>
    </row>
    <row r="38">
      <c r="A38" t="inlineStr">
        <is>
          <t>TIIE</t>
        </is>
      </c>
      <c r="B38" t="n">
        <v>1</v>
      </c>
      <c r="C38" t="inlineStr">
        <is>
          <t>alta_sesion</t>
        </is>
      </c>
      <c r="D38" t="inlineStr">
        <is>
          <t>Banxico publica la tasa de referencia con 1 dia habil de rezago.</t>
        </is>
      </c>
    </row>
    <row r="39">
      <c r="A39" t="inlineStr">
        <is>
          <t>Desempleo</t>
        </is>
      </c>
      <c r="B39" t="n">
        <v>25</v>
      </c>
      <c r="C39" t="inlineStr">
        <is>
          <t>media_generica</t>
        </is>
      </c>
      <c r="D39" t="inlineStr">
        <is>
          <t>ENOE mensual, INEGI. Calendario tipico ~25 dias; NO reverificado contra un comunicado especifico en esta sesion -- tratar como estimacion, no como hecho verificado.</t>
        </is>
      </c>
    </row>
    <row r="40">
      <c r="A40" t="inlineStr">
        <is>
          <t>INPC</t>
        </is>
      </c>
      <c r="B40" t="n">
        <v>9</v>
      </c>
      <c r="C40" t="inlineStr">
        <is>
          <t>media_generica</t>
        </is>
      </c>
      <c r="D40" t="inlineStr">
        <is>
          <t>INPC quincenal/mensual, INEGI publica cifra mensual ~los primeros 9-10 dias del mes siguiente. NO reverificado contra comunicado especifico en esta sesion.</t>
        </is>
      </c>
    </row>
    <row r="41">
      <c r="A41" t="inlineStr">
        <is>
          <t>EPU</t>
        </is>
      </c>
      <c r="B41" t="n">
        <v>30</v>
      </c>
      <c r="C41" t="inlineStr">
        <is>
          <t>supuesto</t>
        </is>
      </c>
      <c r="D41" t="inlineStr">
        <is>
          <t>Mexican Economic Policy Uncertainty Index (policyuncertainty.com). Sin verificar calendario real de actualizacion; se asume ~1 mes de rezago como cota conservadora.</t>
        </is>
      </c>
    </row>
    <row r="42">
      <c r="A42" t="inlineStr">
        <is>
          <t>COVID_MX</t>
        </is>
      </c>
      <c r="B42" t="n">
        <v>1</v>
      </c>
      <c r="C42" t="inlineStr">
        <is>
          <t>alta_sesion</t>
        </is>
      </c>
      <c r="D42" t="inlineStr">
        <is>
          <t>Our World in Data agrega reportes diarios de Secretaria de Salud con ~1 dia de rezago.</t>
        </is>
      </c>
    </row>
    <row r="43">
      <c r="A43" t="inlineStr">
        <is>
          <t>GDELT</t>
        </is>
      </c>
      <c r="B43" t="n">
        <v>0</v>
      </c>
      <c r="C43" t="inlineStr">
        <is>
          <t>alta_sesion</t>
        </is>
      </c>
      <c r="D43" t="inlineStr">
        <is>
          <t>GDELT GKG 2.1 se actualiza cada 15 minutos; disponible casi en tiempo real (t+0).</t>
        </is>
      </c>
    </row>
    <row r="45">
      <c r="A45" s="3" t="inlineStr">
        <is>
          <t>3) Validación de puentes (LOO/CV) — todas NEGATIVAS, incluidas igual por instrucción</t>
        </is>
      </c>
    </row>
    <row r="46">
      <c r="A46" s="6" t="inlineStr">
        <is>
          <t>Puente LP (abril, ridge): LOO-CV R² = -0.0148</t>
        </is>
      </c>
    </row>
    <row r="47">
      <c r="A47" s="6" t="inlineStr">
        <is>
          <t>Puente LP (mayo, ridge): LOO-CV R² = -0.0129</t>
        </is>
      </c>
    </row>
    <row r="48">
      <c r="A48" s="6" t="inlineStr">
        <is>
          <t>GBM tarjetas (ANTAD/AUTOS/IMSS/TARJETAS): CV10 R² = -0.0477</t>
        </is>
      </c>
    </row>
    <row r="49">
      <c r="A49" s="6" t="inlineStr">
        <is>
          <t>GDELT (media del residuo VAR): CV5 R² = -0.2128</t>
        </is>
      </c>
    </row>
    <row r="50">
      <c r="A50" s="6" t="inlineStr">
        <is>
          <t>GDELT (varianza del residuo VAR): CV5 R² = -0.1918</t>
        </is>
      </c>
    </row>
    <row r="51">
      <c r="A51" s="6" t="inlineStr">
        <is>
          <t>Ninguno de estos modelos supera a la media histórica del residuo en validación honesta. El puente LP y GBM se dejan con su corrección conservadora (M2). GDELT se fuerza al ensamble de M3 por instrucción expresa del usuario, vía z-score de tono contra línea base 2017-2019, documentado aquí sin maquillar el resultado de su validación.</t>
        </is>
      </c>
    </row>
    <row r="53">
      <c r="A53" s="3" t="inlineStr">
        <is>
          <t>4) Pesos bayesianos de backcast de escenarios epidemiológicos</t>
        </is>
      </c>
    </row>
    <row r="54">
      <c r="A54" t="inlineStr">
        <is>
          <t>nueva_ola</t>
        </is>
      </c>
      <c r="B54" s="7" t="n">
        <v>0.2052198614</v>
      </c>
    </row>
    <row r="55">
      <c r="A55" t="inlineStr">
        <is>
          <t>rebote_lento</t>
        </is>
      </c>
      <c r="B55" s="7" t="n">
        <v>0.4151933696</v>
      </c>
    </row>
    <row r="56">
      <c r="A56" t="inlineStr">
        <is>
          <t>rebote_rapido</t>
        </is>
      </c>
      <c r="B56" s="7" t="n">
        <v>6.338651777e-75</v>
      </c>
    </row>
    <row r="57">
      <c r="A57" t="inlineStr">
        <is>
          <t>meseta_extendida</t>
        </is>
      </c>
      <c r="B57" s="7" t="n">
        <v>0.379586769</v>
      </c>
    </row>
    <row r="59">
      <c r="A59" s="6" t="inlineStr">
        <is>
          <t>Al corte (15-jun-2020) el crecimiento semanal de casos aún no desaceleraba (11-21% semanal en las 4 semanas previas). El escenario 'rebote_rapido' queda con peso ≈0 por ser inconsistente con esa trayectoria ya observada.</t>
        </is>
      </c>
    </row>
    <row r="62">
      <c r="A62" s="3" t="inlineStr">
        <is>
          <t>5) Corrección de vintage</t>
        </is>
      </c>
    </row>
    <row r="63">
      <c r="A63" s="6" t="inlineStr">
        <is>
          <t>INDPRO de EEUU se recodificó de 45 a ~16 días de rezago, verificado contra el calendario real de publicación G.17 de la Reserva Federal (federalreserve.gov/releases/g17/). El supuesto anterior de 45 días nunca había sido confirmado con fuente primaria.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2026-09-22T05:47:40Z</dcterms:created>
  <dcterms:modified xsi:type="dcterms:W3CDTF">2026-09-22T05:47:40Z</dcterms:modified>
</cp:coreProperties>
</file>